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Материалы к диплому. Переформирование берегов\по\"/>
    </mc:Choice>
  </mc:AlternateContent>
  <bookViews>
    <workbookView xWindow="120" yWindow="180" windowWidth="9720" windowHeight="7260" activeTab="1"/>
  </bookViews>
  <sheets>
    <sheet name="Лист2" sheetId="12" r:id="rId1"/>
    <sheet name="Бережновка" sheetId="1" r:id="rId2"/>
    <sheet name="Бурты" sheetId="5" r:id="rId3"/>
    <sheet name="Молчановка" sheetId="4" r:id="rId4"/>
    <sheet name="Нижний Балыклей" sheetId="2" r:id="rId5"/>
    <sheet name="Нижний Ураков" sheetId="9" r:id="rId6"/>
    <sheet name="Новоникольское" sheetId="8" r:id="rId7"/>
    <sheet name="Пичуга-Южный" sheetId="7" r:id="rId8"/>
    <sheet name="Пролейский" sheetId="6" r:id="rId9"/>
    <sheet name="Суводская" sheetId="10" r:id="rId10"/>
    <sheet name="Ураков Бугор " sheetId="13" r:id="rId11"/>
    <sheet name="Лист1" sheetId="11" r:id="rId12"/>
  </sheets>
  <calcPr calcId="152511"/>
</workbook>
</file>

<file path=xl/calcChain.xml><?xml version="1.0" encoding="utf-8"?>
<calcChain xmlns="http://schemas.openxmlformats.org/spreadsheetml/2006/main">
  <c r="L11" i="10" l="1"/>
  <c r="Y11" i="10"/>
  <c r="S11" i="10"/>
  <c r="M11" i="10"/>
  <c r="G11" i="10"/>
  <c r="G10" i="10"/>
  <c r="F11" i="10"/>
  <c r="R31" i="2"/>
  <c r="L31" i="2"/>
  <c r="R27" i="8"/>
  <c r="L27" i="8"/>
  <c r="F27" i="8"/>
  <c r="L21" i="7"/>
  <c r="F24" i="7"/>
  <c r="L19" i="7"/>
  <c r="L22" i="7"/>
  <c r="R24" i="7"/>
  <c r="L24" i="7"/>
  <c r="AJ35" i="1"/>
  <c r="O28" i="1"/>
  <c r="X28" i="1"/>
  <c r="F28" i="1"/>
  <c r="F31" i="13"/>
  <c r="L31" i="13"/>
  <c r="R31" i="13"/>
  <c r="R31" i="5"/>
  <c r="L31" i="5"/>
  <c r="F31" i="5"/>
  <c r="R31" i="6"/>
  <c r="L31" i="6"/>
  <c r="R26" i="8"/>
  <c r="R25" i="8"/>
  <c r="L26" i="8"/>
  <c r="F26" i="8"/>
  <c r="L30" i="13"/>
  <c r="F30" i="13"/>
  <c r="L29" i="13"/>
  <c r="F29" i="13"/>
  <c r="R30" i="5"/>
  <c r="L30" i="5"/>
  <c r="F30" i="5"/>
  <c r="R30" i="6"/>
  <c r="L30" i="6"/>
  <c r="X30" i="9"/>
  <c r="R30" i="9"/>
  <c r="F30" i="9"/>
  <c r="R30" i="4"/>
  <c r="L30" i="4"/>
  <c r="F30" i="4"/>
  <c r="R30" i="2"/>
  <c r="L30" i="2"/>
  <c r="O27" i="1"/>
  <c r="X27" i="1"/>
  <c r="F27" i="1"/>
  <c r="R29" i="2"/>
  <c r="L29" i="2"/>
  <c r="R29" i="4"/>
  <c r="L29" i="4"/>
  <c r="F29" i="4"/>
  <c r="R23" i="7"/>
  <c r="L23" i="7"/>
  <c r="X29" i="9"/>
  <c r="R29" i="9"/>
  <c r="L29" i="9"/>
  <c r="F29" i="9"/>
  <c r="F28" i="5"/>
  <c r="L28" i="13"/>
  <c r="G84" i="13"/>
  <c r="M84" i="13" s="1"/>
  <c r="G83" i="13"/>
  <c r="M83" i="13" s="1"/>
  <c r="G82" i="13"/>
  <c r="M82" i="13" s="1"/>
  <c r="G81" i="13"/>
  <c r="M81" i="13" s="1"/>
  <c r="G80" i="13"/>
  <c r="M80" i="13" s="1"/>
  <c r="G79" i="13"/>
  <c r="M79" i="13" s="1"/>
  <c r="G78" i="13"/>
  <c r="M78" i="13" s="1"/>
  <c r="G77" i="13"/>
  <c r="M77" i="13" s="1"/>
  <c r="G76" i="13"/>
  <c r="M76" i="13" s="1"/>
  <c r="G75" i="13"/>
  <c r="M75" i="13" s="1"/>
  <c r="G74" i="13"/>
  <c r="M74" i="13" s="1"/>
  <c r="G73" i="13"/>
  <c r="M73" i="13" s="1"/>
  <c r="G72" i="13"/>
  <c r="M72" i="13" s="1"/>
  <c r="G71" i="13"/>
  <c r="M71" i="13" s="1"/>
  <c r="G70" i="13"/>
  <c r="M70" i="13" s="1"/>
  <c r="G69" i="13"/>
  <c r="M69" i="13" s="1"/>
  <c r="G68" i="13"/>
  <c r="M68" i="13" s="1"/>
  <c r="G67" i="13"/>
  <c r="M67" i="13" s="1"/>
  <c r="G66" i="13"/>
  <c r="M66" i="13" s="1"/>
  <c r="G65" i="13"/>
  <c r="M65" i="13" s="1"/>
  <c r="G64" i="13"/>
  <c r="M64" i="13" s="1"/>
  <c r="G63" i="13"/>
  <c r="M63" i="13" s="1"/>
  <c r="G62" i="13"/>
  <c r="M62" i="13" s="1"/>
  <c r="G61" i="13"/>
  <c r="M61" i="13" s="1"/>
  <c r="G60" i="13"/>
  <c r="M60" i="13" s="1"/>
  <c r="G59" i="13"/>
  <c r="M59" i="13" s="1"/>
  <c r="G58" i="13"/>
  <c r="M58" i="13" s="1"/>
  <c r="G57" i="13"/>
  <c r="M57" i="13" s="1"/>
  <c r="G56" i="13"/>
  <c r="M56" i="13" s="1"/>
  <c r="G55" i="13"/>
  <c r="M55" i="13" s="1"/>
  <c r="G54" i="13"/>
  <c r="M54" i="13" s="1"/>
  <c r="G53" i="13"/>
  <c r="M53" i="13" s="1"/>
  <c r="G52" i="13"/>
  <c r="M52" i="13" s="1"/>
  <c r="G51" i="13"/>
  <c r="M51" i="13" s="1"/>
  <c r="G50" i="13"/>
  <c r="M50" i="13" s="1"/>
  <c r="G49" i="13"/>
  <c r="M49" i="13" s="1"/>
  <c r="G48" i="13"/>
  <c r="M48" i="13" s="1"/>
  <c r="G47" i="13"/>
  <c r="M47" i="13" s="1"/>
  <c r="G46" i="13"/>
  <c r="M46" i="13" s="1"/>
  <c r="G45" i="13"/>
  <c r="M45" i="13" s="1"/>
  <c r="G44" i="13"/>
  <c r="M44" i="13" s="1"/>
  <c r="G43" i="13"/>
  <c r="M43" i="13" s="1"/>
  <c r="G42" i="13"/>
  <c r="M42" i="13" s="1"/>
  <c r="G41" i="13"/>
  <c r="M41" i="13" s="1"/>
  <c r="G40" i="13"/>
  <c r="M40" i="13" s="1"/>
  <c r="G39" i="13"/>
  <c r="M39" i="13" s="1"/>
  <c r="M38" i="13"/>
  <c r="G38" i="13"/>
  <c r="G37" i="13"/>
  <c r="M37" i="13" s="1"/>
  <c r="M36" i="13"/>
  <c r="G36" i="13"/>
  <c r="G35" i="13"/>
  <c r="M35" i="13" s="1"/>
  <c r="M34" i="13"/>
  <c r="G34" i="13"/>
  <c r="G33" i="13"/>
  <c r="M33" i="13" s="1"/>
  <c r="M32" i="13"/>
  <c r="G32" i="13"/>
  <c r="G31" i="13"/>
  <c r="M31" i="13" s="1"/>
  <c r="M30" i="13"/>
  <c r="G30" i="13"/>
  <c r="G29" i="13"/>
  <c r="M29" i="13" s="1"/>
  <c r="M28" i="13"/>
  <c r="G28" i="13"/>
  <c r="F28" i="13"/>
  <c r="R27" i="13"/>
  <c r="M27" i="13"/>
  <c r="G27" i="13"/>
  <c r="R26" i="13"/>
  <c r="L26" i="13"/>
  <c r="G26" i="13"/>
  <c r="M26" i="13" s="1"/>
  <c r="F26" i="13"/>
  <c r="R25" i="13"/>
  <c r="L25" i="13"/>
  <c r="G25" i="13"/>
  <c r="M25" i="13"/>
  <c r="R24" i="13"/>
  <c r="L24" i="13"/>
  <c r="G24" i="13"/>
  <c r="M24" i="13"/>
  <c r="F24" i="13"/>
  <c r="R23" i="13"/>
  <c r="M23" i="13"/>
  <c r="L23" i="13"/>
  <c r="G23" i="13"/>
  <c r="F23" i="13"/>
  <c r="R22" i="13"/>
  <c r="K22" i="13"/>
  <c r="L22" i="13" s="1"/>
  <c r="G22" i="13"/>
  <c r="M22" i="13" s="1"/>
  <c r="E22" i="13"/>
  <c r="F22" i="13" s="1"/>
  <c r="R21" i="13"/>
  <c r="M21" i="13"/>
  <c r="L21" i="13"/>
  <c r="G21" i="13"/>
  <c r="F21" i="13"/>
  <c r="R20" i="13"/>
  <c r="L20" i="13"/>
  <c r="G20" i="13"/>
  <c r="M20" i="13"/>
  <c r="F20" i="13"/>
  <c r="R19" i="13"/>
  <c r="L19" i="13"/>
  <c r="G19" i="13"/>
  <c r="M19" i="13" s="1"/>
  <c r="F19" i="13"/>
  <c r="R18" i="13"/>
  <c r="L18" i="13"/>
  <c r="G18" i="13"/>
  <c r="M18" i="13"/>
  <c r="F18" i="13"/>
  <c r="R17" i="13"/>
  <c r="M17" i="13"/>
  <c r="L17" i="13"/>
  <c r="G17" i="13"/>
  <c r="F17" i="13"/>
  <c r="M16" i="13"/>
  <c r="L16" i="13"/>
  <c r="G16" i="13"/>
  <c r="F16" i="13"/>
  <c r="M15" i="13"/>
  <c r="L15" i="13"/>
  <c r="G15" i="13"/>
  <c r="F15" i="13"/>
  <c r="M14" i="13"/>
  <c r="L14" i="13"/>
  <c r="G14" i="13"/>
  <c r="F14" i="13"/>
  <c r="M13" i="13"/>
  <c r="L13" i="13"/>
  <c r="G13" i="13"/>
  <c r="F13" i="13"/>
  <c r="M12" i="13"/>
  <c r="L12" i="13"/>
  <c r="G12" i="13"/>
  <c r="R11" i="13"/>
  <c r="M11" i="13"/>
  <c r="L11" i="13"/>
  <c r="G11" i="13"/>
  <c r="F11" i="13"/>
  <c r="Q10" i="13"/>
  <c r="R10" i="13"/>
  <c r="K10" i="13"/>
  <c r="L10" i="13"/>
  <c r="G10" i="13"/>
  <c r="F10" i="13"/>
  <c r="Q9" i="13"/>
  <c r="R9" i="13"/>
  <c r="K9" i="13"/>
  <c r="L9" i="13" s="1"/>
  <c r="G9" i="13"/>
  <c r="M9" i="13"/>
  <c r="F9" i="13"/>
  <c r="Q8" i="13"/>
  <c r="R8" i="13" s="1"/>
  <c r="M8" i="13"/>
  <c r="K8" i="13"/>
  <c r="L8" i="13"/>
  <c r="G8" i="13"/>
  <c r="F8" i="13"/>
  <c r="R7" i="13"/>
  <c r="L7" i="13"/>
  <c r="G7" i="13"/>
  <c r="M7" i="13"/>
  <c r="F7" i="13"/>
  <c r="R22" i="7"/>
  <c r="F22" i="7"/>
  <c r="R24" i="8"/>
  <c r="L24" i="8"/>
  <c r="R29" i="5"/>
  <c r="L29" i="5"/>
  <c r="F29" i="5"/>
  <c r="R28" i="5"/>
  <c r="L28" i="5"/>
  <c r="R29" i="6"/>
  <c r="L28" i="6"/>
  <c r="L29" i="6"/>
  <c r="F28" i="6"/>
  <c r="R28" i="6"/>
  <c r="L25" i="8"/>
  <c r="F25" i="8"/>
  <c r="F23" i="8"/>
  <c r="E104" i="12"/>
  <c r="D104" i="12"/>
  <c r="C104" i="12"/>
  <c r="F105" i="12" s="1"/>
  <c r="D102" i="12"/>
  <c r="E102" i="12"/>
  <c r="C102" i="12"/>
  <c r="D101" i="12"/>
  <c r="E101" i="12" s="1"/>
  <c r="C101" i="12"/>
  <c r="D100" i="12"/>
  <c r="E100" i="12"/>
  <c r="C100" i="12"/>
  <c r="D99" i="12"/>
  <c r="E99" i="12" s="1"/>
  <c r="F99" i="12" s="1"/>
  <c r="C99" i="12"/>
  <c r="D98" i="12"/>
  <c r="E98" i="12"/>
  <c r="C98" i="12"/>
  <c r="D97" i="12"/>
  <c r="E97" i="12" s="1"/>
  <c r="C97" i="12"/>
  <c r="D96" i="12"/>
  <c r="E96" i="12" s="1"/>
  <c r="C96" i="12"/>
  <c r="D95" i="12"/>
  <c r="E95" i="12" s="1"/>
  <c r="C95" i="12"/>
  <c r="D94" i="12"/>
  <c r="E94" i="12" s="1"/>
  <c r="C94" i="12"/>
  <c r="D93" i="12"/>
  <c r="E93" i="12" s="1"/>
  <c r="F93" i="12" s="1"/>
  <c r="C93" i="12"/>
  <c r="D92" i="12"/>
  <c r="E92" i="12"/>
  <c r="C92" i="12"/>
  <c r="D91" i="12"/>
  <c r="E91" i="12" s="1"/>
  <c r="C91" i="12"/>
  <c r="D90" i="12"/>
  <c r="E90" i="12"/>
  <c r="C90" i="12"/>
  <c r="D89" i="12"/>
  <c r="E89" i="12" s="1"/>
  <c r="C89" i="12"/>
  <c r="D88" i="12"/>
  <c r="E88" i="12"/>
  <c r="C88" i="12"/>
  <c r="D87" i="12"/>
  <c r="E87" i="12" s="1"/>
  <c r="C87" i="12"/>
  <c r="D86" i="12"/>
  <c r="E86" i="12"/>
  <c r="C86" i="12"/>
  <c r="D85" i="12"/>
  <c r="E85" i="12" s="1"/>
  <c r="C85" i="12"/>
  <c r="F85" i="12" s="1"/>
  <c r="D84" i="12"/>
  <c r="E84" i="12" s="1"/>
  <c r="C84" i="12"/>
  <c r="AJ34" i="1"/>
  <c r="X17" i="1" s="1"/>
  <c r="AJ33" i="1"/>
  <c r="X15" i="1" s="1"/>
  <c r="AJ32" i="1"/>
  <c r="X13" i="1" s="1"/>
  <c r="AJ31" i="1"/>
  <c r="X12" i="1" s="1"/>
  <c r="AJ30" i="1"/>
  <c r="X11" i="1" s="1"/>
  <c r="AJ29" i="1"/>
  <c r="AJ28" i="1"/>
  <c r="X9" i="1" s="1"/>
  <c r="D73" i="12"/>
  <c r="E73" i="12" s="1"/>
  <c r="C73" i="12"/>
  <c r="D71" i="12"/>
  <c r="E71" i="12"/>
  <c r="C71" i="12"/>
  <c r="E70" i="12"/>
  <c r="D70" i="12"/>
  <c r="C70" i="12"/>
  <c r="D69" i="12"/>
  <c r="E69" i="12"/>
  <c r="C69" i="12"/>
  <c r="D68" i="12"/>
  <c r="E68" i="12" s="1"/>
  <c r="C68" i="12"/>
  <c r="D67" i="12"/>
  <c r="E67" i="12"/>
  <c r="F67" i="12" s="1"/>
  <c r="C67" i="12"/>
  <c r="D66" i="12"/>
  <c r="E66" i="12"/>
  <c r="C66" i="12"/>
  <c r="F66" i="12" s="1"/>
  <c r="D65" i="12"/>
  <c r="E65" i="12"/>
  <c r="C65" i="12"/>
  <c r="D64" i="12"/>
  <c r="E64" i="12" s="1"/>
  <c r="C64" i="12"/>
  <c r="D63" i="12"/>
  <c r="E63" i="12"/>
  <c r="C63" i="12"/>
  <c r="F63" i="12" s="1"/>
  <c r="D62" i="12"/>
  <c r="E62" i="12" s="1"/>
  <c r="C62" i="12"/>
  <c r="D61" i="12"/>
  <c r="E61" i="12" s="1"/>
  <c r="C61" i="12"/>
  <c r="D60" i="12"/>
  <c r="E60" i="12"/>
  <c r="C60" i="12"/>
  <c r="D59" i="12"/>
  <c r="E59" i="12" s="1"/>
  <c r="C59" i="12"/>
  <c r="D58" i="12"/>
  <c r="E58" i="12"/>
  <c r="C58" i="12"/>
  <c r="F58" i="12"/>
  <c r="D57" i="12"/>
  <c r="E57" i="12" s="1"/>
  <c r="C57" i="12"/>
  <c r="E56" i="12"/>
  <c r="D56" i="12"/>
  <c r="C56" i="12"/>
  <c r="D55" i="12"/>
  <c r="E55" i="12"/>
  <c r="C55" i="12"/>
  <c r="D54" i="12"/>
  <c r="E54" i="12" s="1"/>
  <c r="C54" i="12"/>
  <c r="D53" i="12"/>
  <c r="E53" i="12"/>
  <c r="C53" i="12"/>
  <c r="D52" i="12"/>
  <c r="E52" i="12" s="1"/>
  <c r="C52" i="12"/>
  <c r="D51" i="12"/>
  <c r="E51" i="12"/>
  <c r="C51" i="12"/>
  <c r="D40" i="12"/>
  <c r="E40" i="12" s="1"/>
  <c r="C40" i="12"/>
  <c r="D38" i="12"/>
  <c r="E38" i="12"/>
  <c r="D37" i="12"/>
  <c r="E37" i="12" s="1"/>
  <c r="F37" i="12" s="1"/>
  <c r="D36" i="12"/>
  <c r="E36" i="12"/>
  <c r="D35" i="12"/>
  <c r="E35" i="12"/>
  <c r="D34" i="12"/>
  <c r="E34" i="12" s="1"/>
  <c r="D33" i="12"/>
  <c r="E33" i="12"/>
  <c r="D32" i="12"/>
  <c r="E32" i="12"/>
  <c r="D31" i="12"/>
  <c r="E31" i="12"/>
  <c r="D30" i="12"/>
  <c r="E30" i="12"/>
  <c r="D29" i="12"/>
  <c r="E29" i="12" s="1"/>
  <c r="D28" i="12"/>
  <c r="E28" i="12"/>
  <c r="D27" i="12"/>
  <c r="E27" i="12"/>
  <c r="D26" i="12"/>
  <c r="E26" i="12" s="1"/>
  <c r="F26" i="12" s="1"/>
  <c r="F42" i="12" s="1"/>
  <c r="D25" i="12"/>
  <c r="E25" i="12"/>
  <c r="D24" i="12"/>
  <c r="E24" i="12"/>
  <c r="D23" i="12"/>
  <c r="E23" i="12"/>
  <c r="F23" i="12" s="1"/>
  <c r="D22" i="12"/>
  <c r="E22" i="12" s="1"/>
  <c r="D21" i="12"/>
  <c r="E21" i="12" s="1"/>
  <c r="D20" i="12"/>
  <c r="E20" i="12" s="1"/>
  <c r="D19" i="12"/>
  <c r="E19" i="12" s="1"/>
  <c r="D18" i="12"/>
  <c r="E18" i="12" s="1"/>
  <c r="C38" i="12"/>
  <c r="C37" i="12"/>
  <c r="C36" i="12"/>
  <c r="C35" i="12"/>
  <c r="C34" i="12"/>
  <c r="C33" i="12"/>
  <c r="F33" i="12" s="1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F20" i="12" s="1"/>
  <c r="C19" i="12"/>
  <c r="F19" i="12" s="1"/>
  <c r="C18" i="12"/>
  <c r="E5" i="1"/>
  <c r="F5" i="1"/>
  <c r="J5" i="1"/>
  <c r="S5" i="1"/>
  <c r="O5" i="1"/>
  <c r="E6" i="1"/>
  <c r="F6" i="1" s="1"/>
  <c r="J6" i="1"/>
  <c r="S6" i="1" s="1"/>
  <c r="O6" i="1"/>
  <c r="E7" i="1"/>
  <c r="F7" i="1"/>
  <c r="J7" i="1"/>
  <c r="S7" i="1"/>
  <c r="O7" i="1"/>
  <c r="E8" i="1"/>
  <c r="F8" i="1" s="1"/>
  <c r="J8" i="1"/>
  <c r="S8" i="1" s="1"/>
  <c r="O8" i="1"/>
  <c r="E9" i="1"/>
  <c r="F9" i="1" s="1"/>
  <c r="J9" i="1"/>
  <c r="S9" i="1"/>
  <c r="N9" i="1"/>
  <c r="O9" i="1"/>
  <c r="E10" i="1"/>
  <c r="F10" i="1"/>
  <c r="J10" i="1"/>
  <c r="S10" i="1"/>
  <c r="N10" i="1"/>
  <c r="O10" i="1" s="1"/>
  <c r="E11" i="1"/>
  <c r="F11" i="1"/>
  <c r="J11" i="1"/>
  <c r="S11" i="1"/>
  <c r="O11" i="1"/>
  <c r="E12" i="1"/>
  <c r="F12" i="1" s="1"/>
  <c r="J12" i="1"/>
  <c r="S12" i="1" s="1"/>
  <c r="N12" i="1"/>
  <c r="O12" i="1" s="1"/>
  <c r="E13" i="1"/>
  <c r="F13" i="1" s="1"/>
  <c r="J13" i="1"/>
  <c r="S13" i="1" s="1"/>
  <c r="N13" i="1"/>
  <c r="O13" i="1" s="1"/>
  <c r="F14" i="1"/>
  <c r="J14" i="1"/>
  <c r="S14" i="1"/>
  <c r="F15" i="1"/>
  <c r="J15" i="1"/>
  <c r="S15" i="1" s="1"/>
  <c r="O15" i="1"/>
  <c r="F16" i="1"/>
  <c r="J16" i="1"/>
  <c r="S16" i="1" s="1"/>
  <c r="F17" i="1"/>
  <c r="J17" i="1"/>
  <c r="S17" i="1"/>
  <c r="F18" i="1"/>
  <c r="J18" i="1"/>
  <c r="S18" i="1" s="1"/>
  <c r="O18" i="1"/>
  <c r="X18" i="1"/>
  <c r="F19" i="1"/>
  <c r="J19" i="1"/>
  <c r="S19" i="1" s="1"/>
  <c r="X19" i="1"/>
  <c r="F20" i="1"/>
  <c r="J20" i="1"/>
  <c r="S20" i="1"/>
  <c r="X20" i="1"/>
  <c r="J21" i="1"/>
  <c r="S21" i="1" s="1"/>
  <c r="X21" i="1"/>
  <c r="J22" i="1"/>
  <c r="S22" i="1" s="1"/>
  <c r="X22" i="1"/>
  <c r="F23" i="1"/>
  <c r="J23" i="1"/>
  <c r="S23" i="1"/>
  <c r="O23" i="1"/>
  <c r="X23" i="1"/>
  <c r="F24" i="1"/>
  <c r="J24" i="1"/>
  <c r="S24" i="1" s="1"/>
  <c r="O24" i="1"/>
  <c r="X24" i="1"/>
  <c r="F25" i="1"/>
  <c r="J25" i="1"/>
  <c r="S25" i="1"/>
  <c r="O25" i="1"/>
  <c r="X25" i="1"/>
  <c r="F26" i="1"/>
  <c r="J26" i="1"/>
  <c r="S26" i="1" s="1"/>
  <c r="O26" i="1"/>
  <c r="X26" i="1"/>
  <c r="X28" i="9"/>
  <c r="R28" i="9"/>
  <c r="L28" i="9"/>
  <c r="F28" i="9"/>
  <c r="R28" i="4"/>
  <c r="L28" i="4"/>
  <c r="F28" i="4"/>
  <c r="R27" i="5"/>
  <c r="L27" i="5"/>
  <c r="F27" i="5"/>
  <c r="F21" i="7"/>
  <c r="L26" i="5"/>
  <c r="F26" i="5"/>
  <c r="R27" i="4"/>
  <c r="L27" i="4"/>
  <c r="F27" i="4"/>
  <c r="R20" i="7"/>
  <c r="L20" i="7"/>
  <c r="L12" i="7"/>
  <c r="F19" i="7"/>
  <c r="F20" i="7"/>
  <c r="R27" i="6"/>
  <c r="L27" i="6"/>
  <c r="R28" i="2"/>
  <c r="L28" i="2"/>
  <c r="F28" i="2"/>
  <c r="R26" i="4"/>
  <c r="L26" i="4"/>
  <c r="F26" i="4"/>
  <c r="X27" i="9"/>
  <c r="R27" i="9"/>
  <c r="L27" i="9"/>
  <c r="F27" i="9"/>
  <c r="R23" i="8"/>
  <c r="L23" i="8"/>
  <c r="R26" i="6"/>
  <c r="L26" i="6"/>
  <c r="F25" i="6"/>
  <c r="F26" i="6"/>
  <c r="F27" i="2"/>
  <c r="R19" i="7"/>
  <c r="L27" i="2"/>
  <c r="R27" i="2"/>
  <c r="R25" i="5"/>
  <c r="L25" i="5"/>
  <c r="F25" i="5"/>
  <c r="R25" i="4"/>
  <c r="L25" i="4"/>
  <c r="F25" i="4"/>
  <c r="F24" i="4"/>
  <c r="X26" i="9"/>
  <c r="R26" i="9"/>
  <c r="L26" i="9"/>
  <c r="F26" i="9"/>
  <c r="R24" i="4"/>
  <c r="L24" i="4"/>
  <c r="R24" i="5"/>
  <c r="L24" i="5"/>
  <c r="R25" i="6"/>
  <c r="L25" i="6"/>
  <c r="F24" i="5"/>
  <c r="R10" i="10"/>
  <c r="L10" i="10"/>
  <c r="L9" i="10"/>
  <c r="L8" i="10"/>
  <c r="L7" i="10"/>
  <c r="Y10" i="10"/>
  <c r="S10" i="10"/>
  <c r="M10" i="10"/>
  <c r="F10" i="10"/>
  <c r="R24" i="6"/>
  <c r="L24" i="6"/>
  <c r="F24" i="6"/>
  <c r="L18" i="7"/>
  <c r="F18" i="7"/>
  <c r="R22" i="8"/>
  <c r="L22" i="8"/>
  <c r="F22" i="8"/>
  <c r="X25" i="9"/>
  <c r="R25" i="9"/>
  <c r="L25" i="9"/>
  <c r="F25" i="9"/>
  <c r="R26" i="2"/>
  <c r="L26" i="2"/>
  <c r="F26" i="2"/>
  <c r="F25" i="2"/>
  <c r="F24" i="2"/>
  <c r="R23" i="4"/>
  <c r="L23" i="4"/>
  <c r="F23" i="4"/>
  <c r="R23" i="5"/>
  <c r="L23" i="5"/>
  <c r="F23" i="5"/>
  <c r="R23" i="6"/>
  <c r="L23" i="6"/>
  <c r="F23" i="6"/>
  <c r="R21" i="8"/>
  <c r="L21" i="8"/>
  <c r="X24" i="9"/>
  <c r="L24" i="9"/>
  <c r="F24" i="9"/>
  <c r="R22" i="4"/>
  <c r="L22" i="4"/>
  <c r="F22" i="4"/>
  <c r="R22" i="5"/>
  <c r="L22" i="5"/>
  <c r="F22" i="5"/>
  <c r="R17" i="7"/>
  <c r="L17" i="7"/>
  <c r="F17" i="7"/>
  <c r="R20" i="8"/>
  <c r="L20" i="8"/>
  <c r="F20" i="8"/>
  <c r="X23" i="9"/>
  <c r="R23" i="9"/>
  <c r="F23" i="9"/>
  <c r="R24" i="2"/>
  <c r="L24" i="2"/>
  <c r="R21" i="5"/>
  <c r="L21" i="5"/>
  <c r="F21" i="5"/>
  <c r="R22" i="6"/>
  <c r="L22" i="6"/>
  <c r="S7" i="10"/>
  <c r="M7" i="10"/>
  <c r="G7" i="10"/>
  <c r="R21" i="4"/>
  <c r="L21" i="4"/>
  <c r="F21" i="4"/>
  <c r="R20" i="5"/>
  <c r="L20" i="5"/>
  <c r="F20" i="5"/>
  <c r="X22" i="9"/>
  <c r="R23" i="2"/>
  <c r="L23" i="2"/>
  <c r="F23" i="2"/>
  <c r="R21" i="6"/>
  <c r="L21" i="6"/>
  <c r="AD9" i="10"/>
  <c r="F9" i="10"/>
  <c r="AD8" i="10"/>
  <c r="G88" i="10"/>
  <c r="M88" i="10"/>
  <c r="S88" i="10" s="1"/>
  <c r="Y88" i="10" s="1"/>
  <c r="G87" i="10"/>
  <c r="M87" i="10"/>
  <c r="S87" i="10" s="1"/>
  <c r="Y87" i="10" s="1"/>
  <c r="G86" i="10"/>
  <c r="M86" i="10"/>
  <c r="S86" i="10" s="1"/>
  <c r="Y86" i="10" s="1"/>
  <c r="G85" i="10"/>
  <c r="M85" i="10" s="1"/>
  <c r="S85" i="10" s="1"/>
  <c r="Y85" i="10" s="1"/>
  <c r="G84" i="10"/>
  <c r="M84" i="10"/>
  <c r="S84" i="10" s="1"/>
  <c r="Y84" i="10" s="1"/>
  <c r="G83" i="10"/>
  <c r="M83" i="10"/>
  <c r="S83" i="10" s="1"/>
  <c r="Y83" i="10" s="1"/>
  <c r="G82" i="10"/>
  <c r="M82" i="10"/>
  <c r="S82" i="10" s="1"/>
  <c r="Y82" i="10" s="1"/>
  <c r="G81" i="10"/>
  <c r="M81" i="10" s="1"/>
  <c r="S81" i="10" s="1"/>
  <c r="Y81" i="10" s="1"/>
  <c r="G80" i="10"/>
  <c r="M80" i="10"/>
  <c r="S80" i="10"/>
  <c r="Y80" i="10" s="1"/>
  <c r="G79" i="10"/>
  <c r="M79" i="10"/>
  <c r="S79" i="10" s="1"/>
  <c r="Y79" i="10" s="1"/>
  <c r="G78" i="10"/>
  <c r="M78" i="10"/>
  <c r="S78" i="10" s="1"/>
  <c r="Y78" i="10" s="1"/>
  <c r="G77" i="10"/>
  <c r="M77" i="10" s="1"/>
  <c r="S77" i="10" s="1"/>
  <c r="Y77" i="10" s="1"/>
  <c r="G76" i="10"/>
  <c r="M76" i="10"/>
  <c r="S76" i="10"/>
  <c r="Y76" i="10" s="1"/>
  <c r="G75" i="10"/>
  <c r="M75" i="10"/>
  <c r="S75" i="10" s="1"/>
  <c r="Y75" i="10" s="1"/>
  <c r="G74" i="10"/>
  <c r="M74" i="10"/>
  <c r="S74" i="10" s="1"/>
  <c r="Y74" i="10" s="1"/>
  <c r="G73" i="10"/>
  <c r="M73" i="10" s="1"/>
  <c r="S73" i="10" s="1"/>
  <c r="Y73" i="10" s="1"/>
  <c r="G72" i="10"/>
  <c r="M72" i="10"/>
  <c r="S72" i="10"/>
  <c r="Y72" i="10" s="1"/>
  <c r="G71" i="10"/>
  <c r="M71" i="10"/>
  <c r="S71" i="10" s="1"/>
  <c r="Y71" i="10" s="1"/>
  <c r="G70" i="10"/>
  <c r="M70" i="10"/>
  <c r="S70" i="10" s="1"/>
  <c r="Y70" i="10" s="1"/>
  <c r="G69" i="10"/>
  <c r="M69" i="10" s="1"/>
  <c r="S69" i="10" s="1"/>
  <c r="Y69" i="10" s="1"/>
  <c r="G68" i="10"/>
  <c r="M68" i="10"/>
  <c r="S68" i="10"/>
  <c r="Y68" i="10" s="1"/>
  <c r="G67" i="10"/>
  <c r="M67" i="10"/>
  <c r="S67" i="10" s="1"/>
  <c r="Y67" i="10" s="1"/>
  <c r="G66" i="10"/>
  <c r="M66" i="10"/>
  <c r="S66" i="10" s="1"/>
  <c r="Y66" i="10" s="1"/>
  <c r="G65" i="10"/>
  <c r="M65" i="10" s="1"/>
  <c r="S65" i="10" s="1"/>
  <c r="Y65" i="10" s="1"/>
  <c r="G64" i="10"/>
  <c r="M64" i="10"/>
  <c r="S64" i="10"/>
  <c r="Y64" i="10" s="1"/>
  <c r="G63" i="10"/>
  <c r="M63" i="10"/>
  <c r="S63" i="10" s="1"/>
  <c r="Y63" i="10" s="1"/>
  <c r="G62" i="10"/>
  <c r="M62" i="10"/>
  <c r="S62" i="10" s="1"/>
  <c r="Y62" i="10" s="1"/>
  <c r="G61" i="10"/>
  <c r="M61" i="10" s="1"/>
  <c r="S61" i="10" s="1"/>
  <c r="Y61" i="10" s="1"/>
  <c r="G60" i="10"/>
  <c r="M60" i="10"/>
  <c r="S60" i="10"/>
  <c r="Y60" i="10" s="1"/>
  <c r="G59" i="10"/>
  <c r="M59" i="10"/>
  <c r="S59" i="10" s="1"/>
  <c r="Y59" i="10" s="1"/>
  <c r="G58" i="10"/>
  <c r="M58" i="10"/>
  <c r="S58" i="10" s="1"/>
  <c r="Y58" i="10" s="1"/>
  <c r="G57" i="10"/>
  <c r="M57" i="10" s="1"/>
  <c r="S57" i="10" s="1"/>
  <c r="Y57" i="10" s="1"/>
  <c r="G56" i="10"/>
  <c r="M56" i="10"/>
  <c r="S56" i="10"/>
  <c r="Y56" i="10" s="1"/>
  <c r="G55" i="10"/>
  <c r="M55" i="10"/>
  <c r="S55" i="10" s="1"/>
  <c r="Y55" i="10" s="1"/>
  <c r="G54" i="10"/>
  <c r="M54" i="10"/>
  <c r="S54" i="10" s="1"/>
  <c r="Y54" i="10" s="1"/>
  <c r="G53" i="10"/>
  <c r="M53" i="10" s="1"/>
  <c r="S53" i="10" s="1"/>
  <c r="Y53" i="10" s="1"/>
  <c r="G52" i="10"/>
  <c r="M52" i="10"/>
  <c r="S52" i="10"/>
  <c r="Y52" i="10" s="1"/>
  <c r="G51" i="10"/>
  <c r="M51" i="10"/>
  <c r="S51" i="10" s="1"/>
  <c r="Y51" i="10" s="1"/>
  <c r="G50" i="10"/>
  <c r="M50" i="10"/>
  <c r="S50" i="10" s="1"/>
  <c r="Y50" i="10" s="1"/>
  <c r="G49" i="10"/>
  <c r="M49" i="10" s="1"/>
  <c r="S49" i="10" s="1"/>
  <c r="Y49" i="10" s="1"/>
  <c r="G48" i="10"/>
  <c r="M48" i="10"/>
  <c r="S48" i="10"/>
  <c r="Y48" i="10" s="1"/>
  <c r="G47" i="10"/>
  <c r="M47" i="10"/>
  <c r="S47" i="10" s="1"/>
  <c r="Y47" i="10" s="1"/>
  <c r="G46" i="10"/>
  <c r="M46" i="10"/>
  <c r="S46" i="10" s="1"/>
  <c r="Y46" i="10" s="1"/>
  <c r="G45" i="10"/>
  <c r="M45" i="10" s="1"/>
  <c r="S45" i="10" s="1"/>
  <c r="Y45" i="10" s="1"/>
  <c r="G44" i="10"/>
  <c r="M44" i="10"/>
  <c r="S44" i="10"/>
  <c r="Y44" i="10" s="1"/>
  <c r="G43" i="10"/>
  <c r="M43" i="10"/>
  <c r="S43" i="10" s="1"/>
  <c r="Y43" i="10" s="1"/>
  <c r="G42" i="10"/>
  <c r="M42" i="10"/>
  <c r="S42" i="10" s="1"/>
  <c r="Y42" i="10" s="1"/>
  <c r="G41" i="10"/>
  <c r="M41" i="10" s="1"/>
  <c r="S41" i="10" s="1"/>
  <c r="Y41" i="10" s="1"/>
  <c r="G40" i="10"/>
  <c r="M40" i="10"/>
  <c r="S40" i="10"/>
  <c r="Y40" i="10" s="1"/>
  <c r="G39" i="10"/>
  <c r="M39" i="10"/>
  <c r="S39" i="10" s="1"/>
  <c r="Y39" i="10" s="1"/>
  <c r="G38" i="10"/>
  <c r="M38" i="10"/>
  <c r="S38" i="10" s="1"/>
  <c r="Y38" i="10" s="1"/>
  <c r="G37" i="10"/>
  <c r="M37" i="10" s="1"/>
  <c r="S37" i="10" s="1"/>
  <c r="Y37" i="10" s="1"/>
  <c r="G36" i="10"/>
  <c r="M36" i="10"/>
  <c r="S36" i="10"/>
  <c r="Y36" i="10" s="1"/>
  <c r="G35" i="10"/>
  <c r="M35" i="10"/>
  <c r="S35" i="10" s="1"/>
  <c r="Y35" i="10" s="1"/>
  <c r="G34" i="10"/>
  <c r="M34" i="10"/>
  <c r="S34" i="10" s="1"/>
  <c r="Y34" i="10" s="1"/>
  <c r="G33" i="10"/>
  <c r="M33" i="10" s="1"/>
  <c r="S33" i="10" s="1"/>
  <c r="Y33" i="10" s="1"/>
  <c r="G32" i="10"/>
  <c r="M32" i="10"/>
  <c r="S32" i="10"/>
  <c r="Y32" i="10" s="1"/>
  <c r="G31" i="10"/>
  <c r="M31" i="10"/>
  <c r="S31" i="10" s="1"/>
  <c r="Y31" i="10" s="1"/>
  <c r="G30" i="10"/>
  <c r="M30" i="10" s="1"/>
  <c r="S30" i="10" s="1"/>
  <c r="Y30" i="10" s="1"/>
  <c r="G29" i="10"/>
  <c r="M29" i="10" s="1"/>
  <c r="S29" i="10" s="1"/>
  <c r="Y29" i="10" s="1"/>
  <c r="G28" i="10"/>
  <c r="M28" i="10"/>
  <c r="S28" i="10"/>
  <c r="Y28" i="10" s="1"/>
  <c r="G27" i="10"/>
  <c r="M27" i="10"/>
  <c r="S27" i="10" s="1"/>
  <c r="Y27" i="10" s="1"/>
  <c r="G26" i="10"/>
  <c r="M26" i="10"/>
  <c r="S26" i="10" s="1"/>
  <c r="Y26" i="10" s="1"/>
  <c r="G25" i="10"/>
  <c r="M25" i="10" s="1"/>
  <c r="S25" i="10" s="1"/>
  <c r="Y25" i="10" s="1"/>
  <c r="G24" i="10"/>
  <c r="M24" i="10"/>
  <c r="S24" i="10"/>
  <c r="Y24" i="10" s="1"/>
  <c r="G23" i="10"/>
  <c r="M23" i="10"/>
  <c r="S23" i="10" s="1"/>
  <c r="Y23" i="10" s="1"/>
  <c r="X21" i="9"/>
  <c r="F21" i="9"/>
  <c r="R19" i="5"/>
  <c r="L19" i="5"/>
  <c r="F19" i="5"/>
  <c r="L14" i="6"/>
  <c r="F14" i="6"/>
  <c r="G14" i="6"/>
  <c r="M14" i="6" s="1"/>
  <c r="F13" i="7"/>
  <c r="G13" i="7"/>
  <c r="M13" i="7" s="1"/>
  <c r="F16" i="7"/>
  <c r="R19" i="6"/>
  <c r="L19" i="6"/>
  <c r="F19" i="6"/>
  <c r="G19" i="6"/>
  <c r="M19" i="6"/>
  <c r="R17" i="5"/>
  <c r="L17" i="5"/>
  <c r="F17" i="5"/>
  <c r="G17" i="5"/>
  <c r="M17" i="5" s="1"/>
  <c r="R14" i="9"/>
  <c r="X14" i="9"/>
  <c r="L14" i="9"/>
  <c r="F14" i="9"/>
  <c r="G14" i="9"/>
  <c r="M14" i="9" s="1"/>
  <c r="R11" i="5"/>
  <c r="K11" i="5"/>
  <c r="L11" i="5"/>
  <c r="F11" i="5"/>
  <c r="G11" i="5"/>
  <c r="M11" i="5" s="1"/>
  <c r="R18" i="2"/>
  <c r="G18" i="2"/>
  <c r="M18" i="2" s="1"/>
  <c r="R15" i="5"/>
  <c r="L15" i="5"/>
  <c r="F15" i="5"/>
  <c r="G15" i="5"/>
  <c r="M15" i="5" s="1"/>
  <c r="L18" i="4"/>
  <c r="F18" i="4"/>
  <c r="G18" i="4"/>
  <c r="M18" i="4" s="1"/>
  <c r="X18" i="9"/>
  <c r="L18" i="9"/>
  <c r="F18" i="9"/>
  <c r="G18" i="9"/>
  <c r="M18" i="9"/>
  <c r="S18" i="9"/>
  <c r="F20" i="2"/>
  <c r="E20" i="2"/>
  <c r="I20" i="2"/>
  <c r="L20" i="2" s="1"/>
  <c r="R20" i="2"/>
  <c r="G20" i="2"/>
  <c r="M20" i="2" s="1"/>
  <c r="R17" i="6"/>
  <c r="L17" i="6"/>
  <c r="F17" i="6"/>
  <c r="G17" i="6"/>
  <c r="M17" i="6"/>
  <c r="F14" i="7"/>
  <c r="G14" i="7"/>
  <c r="M14" i="7"/>
  <c r="X15" i="9"/>
  <c r="R15" i="9"/>
  <c r="L15" i="9"/>
  <c r="F15" i="9"/>
  <c r="G15" i="9"/>
  <c r="M15" i="9"/>
  <c r="S15" i="9" s="1"/>
  <c r="L14" i="5"/>
  <c r="F14" i="5"/>
  <c r="R14" i="5"/>
  <c r="G14" i="5"/>
  <c r="M14" i="5"/>
  <c r="R20" i="6"/>
  <c r="L20" i="6"/>
  <c r="F20" i="6"/>
  <c r="G20" i="6"/>
  <c r="R19" i="8"/>
  <c r="L19" i="8"/>
  <c r="F19" i="8"/>
  <c r="X20" i="9"/>
  <c r="R20" i="9"/>
  <c r="L20" i="9"/>
  <c r="F20" i="9"/>
  <c r="R22" i="2"/>
  <c r="L22" i="2"/>
  <c r="F22" i="2"/>
  <c r="R20" i="4"/>
  <c r="L20" i="4"/>
  <c r="F20" i="4"/>
  <c r="R18" i="5"/>
  <c r="L18" i="5"/>
  <c r="F18" i="5"/>
  <c r="R17" i="9"/>
  <c r="X17" i="9"/>
  <c r="F17" i="9"/>
  <c r="L17" i="9"/>
  <c r="G17" i="9"/>
  <c r="M17" i="9"/>
  <c r="S17" i="9" s="1"/>
  <c r="R17" i="4"/>
  <c r="L17" i="4"/>
  <c r="F17" i="4"/>
  <c r="G17" i="4"/>
  <c r="M17" i="4"/>
  <c r="X16" i="9"/>
  <c r="L16" i="9"/>
  <c r="F16" i="9"/>
  <c r="G16" i="9"/>
  <c r="M16" i="9"/>
  <c r="S16" i="9" s="1"/>
  <c r="R13" i="5"/>
  <c r="L13" i="5"/>
  <c r="L16" i="5"/>
  <c r="F13" i="5"/>
  <c r="G13" i="5"/>
  <c r="M13" i="5" s="1"/>
  <c r="R16" i="6"/>
  <c r="L16" i="6"/>
  <c r="G16" i="6"/>
  <c r="M16" i="6"/>
  <c r="F16" i="6"/>
  <c r="F18" i="6"/>
  <c r="J82" i="1"/>
  <c r="S82" i="1"/>
  <c r="J81" i="1"/>
  <c r="S81" i="1" s="1"/>
  <c r="J80" i="1"/>
  <c r="S80" i="1"/>
  <c r="J79" i="1"/>
  <c r="S79" i="1"/>
  <c r="J78" i="1"/>
  <c r="S78" i="1" s="1"/>
  <c r="J77" i="1"/>
  <c r="S77" i="1"/>
  <c r="J76" i="1"/>
  <c r="S76" i="1"/>
  <c r="J75" i="1"/>
  <c r="S75" i="1"/>
  <c r="J74" i="1"/>
  <c r="S74" i="1"/>
  <c r="J73" i="1"/>
  <c r="S73" i="1" s="1"/>
  <c r="J72" i="1"/>
  <c r="S72" i="1"/>
  <c r="J71" i="1"/>
  <c r="S71" i="1"/>
  <c r="J70" i="1"/>
  <c r="S70" i="1" s="1"/>
  <c r="J69" i="1"/>
  <c r="S69" i="1"/>
  <c r="J68" i="1"/>
  <c r="S68" i="1"/>
  <c r="J67" i="1"/>
  <c r="S67" i="1"/>
  <c r="J66" i="1"/>
  <c r="S66" i="1"/>
  <c r="J65" i="1"/>
  <c r="S65" i="1" s="1"/>
  <c r="J64" i="1"/>
  <c r="S64" i="1"/>
  <c r="J63" i="1"/>
  <c r="S63" i="1"/>
  <c r="J62" i="1"/>
  <c r="S62" i="1" s="1"/>
  <c r="J61" i="1"/>
  <c r="S61" i="1"/>
  <c r="J60" i="1"/>
  <c r="S60" i="1"/>
  <c r="J59" i="1"/>
  <c r="S59" i="1"/>
  <c r="J58" i="1"/>
  <c r="S58" i="1"/>
  <c r="J57" i="1"/>
  <c r="S57" i="1" s="1"/>
  <c r="J56" i="1"/>
  <c r="S56" i="1"/>
  <c r="J55" i="1"/>
  <c r="S55" i="1"/>
  <c r="J54" i="1"/>
  <c r="S54" i="1" s="1"/>
  <c r="J53" i="1"/>
  <c r="S53" i="1"/>
  <c r="J52" i="1"/>
  <c r="S52" i="1"/>
  <c r="J51" i="1"/>
  <c r="S51" i="1"/>
  <c r="J50" i="1"/>
  <c r="S50" i="1"/>
  <c r="J49" i="1"/>
  <c r="S49" i="1" s="1"/>
  <c r="J48" i="1"/>
  <c r="S48" i="1"/>
  <c r="J47" i="1"/>
  <c r="S47" i="1"/>
  <c r="J46" i="1"/>
  <c r="S46" i="1" s="1"/>
  <c r="J45" i="1"/>
  <c r="S45" i="1"/>
  <c r="J44" i="1"/>
  <c r="S44" i="1"/>
  <c r="J43" i="1"/>
  <c r="S43" i="1"/>
  <c r="J42" i="1"/>
  <c r="S42" i="1"/>
  <c r="J41" i="1"/>
  <c r="S41" i="1" s="1"/>
  <c r="J40" i="1"/>
  <c r="S40" i="1"/>
  <c r="J39" i="1"/>
  <c r="S39" i="1"/>
  <c r="J38" i="1"/>
  <c r="S38" i="1" s="1"/>
  <c r="J37" i="1"/>
  <c r="S37" i="1"/>
  <c r="J36" i="1"/>
  <c r="S36" i="1"/>
  <c r="J35" i="1"/>
  <c r="S35" i="1"/>
  <c r="J34" i="1"/>
  <c r="S34" i="1"/>
  <c r="J33" i="1"/>
  <c r="S33" i="1" s="1"/>
  <c r="J32" i="1"/>
  <c r="S32" i="1"/>
  <c r="J31" i="1"/>
  <c r="S31" i="1"/>
  <c r="J30" i="1"/>
  <c r="S30" i="1" s="1"/>
  <c r="J29" i="1"/>
  <c r="S29" i="1"/>
  <c r="J28" i="1"/>
  <c r="S28" i="1"/>
  <c r="J27" i="1"/>
  <c r="S27" i="1"/>
  <c r="R16" i="5"/>
  <c r="R12" i="5"/>
  <c r="R10" i="5"/>
  <c r="R9" i="5"/>
  <c r="R8" i="5"/>
  <c r="Q7" i="5"/>
  <c r="R7" i="5" s="1"/>
  <c r="K12" i="5"/>
  <c r="L12" i="5" s="1"/>
  <c r="K10" i="5"/>
  <c r="L10" i="5" s="1"/>
  <c r="K9" i="5"/>
  <c r="L9" i="5" s="1"/>
  <c r="K8" i="5"/>
  <c r="L8" i="5"/>
  <c r="K7" i="5"/>
  <c r="L7" i="5" s="1"/>
  <c r="E8" i="5"/>
  <c r="F8" i="5"/>
  <c r="F9" i="5"/>
  <c r="F10" i="5"/>
  <c r="F12" i="5"/>
  <c r="F16" i="5"/>
  <c r="E7" i="5"/>
  <c r="F7" i="5"/>
  <c r="G85" i="5"/>
  <c r="M85" i="5" s="1"/>
  <c r="G84" i="5"/>
  <c r="M84" i="5" s="1"/>
  <c r="G83" i="5"/>
  <c r="M83" i="5" s="1"/>
  <c r="G82" i="5"/>
  <c r="M82" i="5" s="1"/>
  <c r="G81" i="5"/>
  <c r="M81" i="5"/>
  <c r="G80" i="5"/>
  <c r="M80" i="5" s="1"/>
  <c r="G79" i="5"/>
  <c r="M79" i="5" s="1"/>
  <c r="G78" i="5"/>
  <c r="M78" i="5" s="1"/>
  <c r="G77" i="5"/>
  <c r="M77" i="5" s="1"/>
  <c r="G76" i="5"/>
  <c r="M76" i="5" s="1"/>
  <c r="G75" i="5"/>
  <c r="M75" i="5" s="1"/>
  <c r="G74" i="5"/>
  <c r="M74" i="5" s="1"/>
  <c r="G73" i="5"/>
  <c r="M73" i="5"/>
  <c r="G72" i="5"/>
  <c r="M72" i="5" s="1"/>
  <c r="G71" i="5"/>
  <c r="M71" i="5" s="1"/>
  <c r="G70" i="5"/>
  <c r="M70" i="5" s="1"/>
  <c r="G69" i="5"/>
  <c r="M69" i="5" s="1"/>
  <c r="G68" i="5"/>
  <c r="M68" i="5" s="1"/>
  <c r="G67" i="5"/>
  <c r="M67" i="5" s="1"/>
  <c r="G66" i="5"/>
  <c r="M66" i="5" s="1"/>
  <c r="G65" i="5"/>
  <c r="M65" i="5"/>
  <c r="G64" i="5"/>
  <c r="M64" i="5" s="1"/>
  <c r="G63" i="5"/>
  <c r="M63" i="5" s="1"/>
  <c r="G62" i="5"/>
  <c r="M62" i="5" s="1"/>
  <c r="G61" i="5"/>
  <c r="M61" i="5" s="1"/>
  <c r="G60" i="5"/>
  <c r="M60" i="5" s="1"/>
  <c r="G59" i="5"/>
  <c r="M59" i="5" s="1"/>
  <c r="G58" i="5"/>
  <c r="M58" i="5" s="1"/>
  <c r="G57" i="5"/>
  <c r="M57" i="5"/>
  <c r="G56" i="5"/>
  <c r="M56" i="5" s="1"/>
  <c r="G55" i="5"/>
  <c r="M55" i="5" s="1"/>
  <c r="G54" i="5"/>
  <c r="M54" i="5"/>
  <c r="G53" i="5"/>
  <c r="M53" i="5" s="1"/>
  <c r="G52" i="5"/>
  <c r="M52" i="5" s="1"/>
  <c r="G51" i="5"/>
  <c r="M51" i="5" s="1"/>
  <c r="G50" i="5"/>
  <c r="M50" i="5" s="1"/>
  <c r="G49" i="5"/>
  <c r="M49" i="5"/>
  <c r="G48" i="5"/>
  <c r="M48" i="5" s="1"/>
  <c r="G47" i="5"/>
  <c r="M47" i="5" s="1"/>
  <c r="G46" i="5"/>
  <c r="M46" i="5"/>
  <c r="G45" i="5"/>
  <c r="M45" i="5" s="1"/>
  <c r="G44" i="5"/>
  <c r="M44" i="5" s="1"/>
  <c r="G43" i="5"/>
  <c r="M43" i="5" s="1"/>
  <c r="G42" i="5"/>
  <c r="M42" i="5" s="1"/>
  <c r="G41" i="5"/>
  <c r="M41" i="5"/>
  <c r="G40" i="5"/>
  <c r="M40" i="5" s="1"/>
  <c r="G39" i="5"/>
  <c r="M39" i="5" s="1"/>
  <c r="G38" i="5"/>
  <c r="M38" i="5" s="1"/>
  <c r="G37" i="5"/>
  <c r="M37" i="5" s="1"/>
  <c r="G36" i="5"/>
  <c r="M36" i="5" s="1"/>
  <c r="G35" i="5"/>
  <c r="M35" i="5" s="1"/>
  <c r="G34" i="5"/>
  <c r="M34" i="5" s="1"/>
  <c r="G33" i="5"/>
  <c r="M33" i="5"/>
  <c r="G32" i="5"/>
  <c r="M32" i="5" s="1"/>
  <c r="G31" i="5"/>
  <c r="M31" i="5" s="1"/>
  <c r="G30" i="5"/>
  <c r="M30" i="5" s="1"/>
  <c r="G29" i="5"/>
  <c r="M29" i="5" s="1"/>
  <c r="G28" i="5"/>
  <c r="M28" i="5" s="1"/>
  <c r="G27" i="5"/>
  <c r="M27" i="5" s="1"/>
  <c r="G26" i="5"/>
  <c r="M26" i="5" s="1"/>
  <c r="G25" i="5"/>
  <c r="M25" i="5"/>
  <c r="G24" i="5"/>
  <c r="M24" i="5" s="1"/>
  <c r="G23" i="5"/>
  <c r="M23" i="5" s="1"/>
  <c r="G22" i="5"/>
  <c r="M22" i="5"/>
  <c r="G21" i="5"/>
  <c r="M21" i="5" s="1"/>
  <c r="G20" i="5"/>
  <c r="M20" i="5" s="1"/>
  <c r="G19" i="5"/>
  <c r="M19" i="5" s="1"/>
  <c r="G18" i="5"/>
  <c r="M18" i="5" s="1"/>
  <c r="G16" i="5"/>
  <c r="M16" i="5"/>
  <c r="G12" i="5"/>
  <c r="M12" i="5" s="1"/>
  <c r="G10" i="5"/>
  <c r="M10" i="5" s="1"/>
  <c r="G9" i="5"/>
  <c r="M9" i="5" s="1"/>
  <c r="G8" i="5"/>
  <c r="M8" i="5" s="1"/>
  <c r="G7" i="5"/>
  <c r="M7" i="5" s="1"/>
  <c r="R19" i="4"/>
  <c r="R16" i="4"/>
  <c r="R15" i="4"/>
  <c r="R14" i="4"/>
  <c r="R13" i="4"/>
  <c r="R12" i="4"/>
  <c r="R11" i="4"/>
  <c r="R10" i="4"/>
  <c r="R9" i="4"/>
  <c r="R8" i="4"/>
  <c r="R7" i="4"/>
  <c r="L19" i="4"/>
  <c r="L16" i="4"/>
  <c r="L15" i="4"/>
  <c r="L14" i="4"/>
  <c r="L13" i="4"/>
  <c r="L12" i="4"/>
  <c r="L11" i="4"/>
  <c r="L10" i="4"/>
  <c r="L9" i="4"/>
  <c r="L8" i="4"/>
  <c r="L7" i="4"/>
  <c r="F8" i="4"/>
  <c r="F9" i="4"/>
  <c r="F10" i="4"/>
  <c r="F11" i="4"/>
  <c r="F12" i="4"/>
  <c r="F13" i="4"/>
  <c r="F14" i="4"/>
  <c r="F15" i="4"/>
  <c r="F16" i="4"/>
  <c r="F19" i="4"/>
  <c r="F7" i="4"/>
  <c r="G82" i="4"/>
  <c r="M82" i="4" s="1"/>
  <c r="G81" i="4"/>
  <c r="M81" i="4"/>
  <c r="G80" i="4"/>
  <c r="M80" i="4" s="1"/>
  <c r="G79" i="4"/>
  <c r="M79" i="4"/>
  <c r="G78" i="4"/>
  <c r="M78" i="4"/>
  <c r="G77" i="4"/>
  <c r="M77" i="4" s="1"/>
  <c r="G76" i="4"/>
  <c r="M76" i="4"/>
  <c r="G75" i="4"/>
  <c r="M75" i="4"/>
  <c r="G74" i="4"/>
  <c r="M74" i="4"/>
  <c r="G73" i="4"/>
  <c r="M73" i="4"/>
  <c r="G72" i="4"/>
  <c r="M72" i="4" s="1"/>
  <c r="G71" i="4"/>
  <c r="M71" i="4"/>
  <c r="G70" i="4"/>
  <c r="M70" i="4"/>
  <c r="G69" i="4"/>
  <c r="M69" i="4" s="1"/>
  <c r="G68" i="4"/>
  <c r="M68" i="4"/>
  <c r="G67" i="4"/>
  <c r="M67" i="4"/>
  <c r="G66" i="4"/>
  <c r="M66" i="4"/>
  <c r="G65" i="4"/>
  <c r="M65" i="4"/>
  <c r="G64" i="4"/>
  <c r="M64" i="4" s="1"/>
  <c r="G63" i="4"/>
  <c r="M63" i="4"/>
  <c r="G62" i="4"/>
  <c r="M62" i="4"/>
  <c r="G61" i="4"/>
  <c r="M61" i="4" s="1"/>
  <c r="G60" i="4"/>
  <c r="M60" i="4"/>
  <c r="G59" i="4"/>
  <c r="M59" i="4"/>
  <c r="G58" i="4"/>
  <c r="M58" i="4"/>
  <c r="G57" i="4"/>
  <c r="M57" i="4"/>
  <c r="G56" i="4"/>
  <c r="M56" i="4" s="1"/>
  <c r="G55" i="4"/>
  <c r="M55" i="4"/>
  <c r="G54" i="4"/>
  <c r="M54" i="4"/>
  <c r="G53" i="4"/>
  <c r="M53" i="4" s="1"/>
  <c r="G52" i="4"/>
  <c r="M52" i="4"/>
  <c r="G51" i="4"/>
  <c r="M51" i="4"/>
  <c r="G50" i="4"/>
  <c r="M50" i="4" s="1"/>
  <c r="G49" i="4"/>
  <c r="M49" i="4"/>
  <c r="G48" i="4"/>
  <c r="M48" i="4" s="1"/>
  <c r="G47" i="4"/>
  <c r="M47" i="4"/>
  <c r="G46" i="4"/>
  <c r="M46" i="4"/>
  <c r="G45" i="4"/>
  <c r="M45" i="4" s="1"/>
  <c r="G44" i="4"/>
  <c r="M44" i="4"/>
  <c r="G43" i="4"/>
  <c r="M43" i="4"/>
  <c r="G42" i="4"/>
  <c r="M42" i="4"/>
  <c r="G41" i="4"/>
  <c r="M41" i="4"/>
  <c r="G40" i="4"/>
  <c r="M40" i="4" s="1"/>
  <c r="G39" i="4"/>
  <c r="M39" i="4"/>
  <c r="G38" i="4"/>
  <c r="M38" i="4"/>
  <c r="G37" i="4"/>
  <c r="M37" i="4" s="1"/>
  <c r="G36" i="4"/>
  <c r="M36" i="4"/>
  <c r="G35" i="4"/>
  <c r="M35" i="4"/>
  <c r="G34" i="4"/>
  <c r="M34" i="4" s="1"/>
  <c r="G33" i="4"/>
  <c r="M33" i="4"/>
  <c r="G32" i="4"/>
  <c r="M32" i="4" s="1"/>
  <c r="G31" i="4"/>
  <c r="M31" i="4"/>
  <c r="G30" i="4"/>
  <c r="M30" i="4"/>
  <c r="G29" i="4"/>
  <c r="M29" i="4" s="1"/>
  <c r="G28" i="4"/>
  <c r="M28" i="4"/>
  <c r="G27" i="4"/>
  <c r="M27" i="4"/>
  <c r="G26" i="4"/>
  <c r="M26" i="4"/>
  <c r="G25" i="4"/>
  <c r="M25" i="4"/>
  <c r="G24" i="4"/>
  <c r="M24" i="4" s="1"/>
  <c r="G23" i="4"/>
  <c r="M23" i="4"/>
  <c r="G22" i="4"/>
  <c r="M22" i="4"/>
  <c r="G21" i="4"/>
  <c r="M21" i="4" s="1"/>
  <c r="G20" i="4"/>
  <c r="M20" i="4"/>
  <c r="G19" i="4"/>
  <c r="M19" i="4"/>
  <c r="G16" i="4"/>
  <c r="M16" i="4" s="1"/>
  <c r="G15" i="4"/>
  <c r="M15" i="4"/>
  <c r="G14" i="4"/>
  <c r="M14" i="4" s="1"/>
  <c r="G13" i="4"/>
  <c r="M13" i="4"/>
  <c r="G12" i="4"/>
  <c r="M12" i="4"/>
  <c r="G11" i="4"/>
  <c r="M11" i="4" s="1"/>
  <c r="G10" i="4"/>
  <c r="M10" i="4"/>
  <c r="G9" i="4"/>
  <c r="M9" i="4"/>
  <c r="G8" i="4"/>
  <c r="M8" i="4"/>
  <c r="G7" i="4"/>
  <c r="M7" i="4"/>
  <c r="R21" i="2"/>
  <c r="R19" i="2"/>
  <c r="R17" i="2"/>
  <c r="R16" i="2"/>
  <c r="R15" i="2"/>
  <c r="R14" i="2"/>
  <c r="Q13" i="2"/>
  <c r="R13" i="2" s="1"/>
  <c r="Q12" i="2"/>
  <c r="R12" i="2"/>
  <c r="Q11" i="2"/>
  <c r="R11" i="2"/>
  <c r="Q10" i="2"/>
  <c r="R10" i="2" s="1"/>
  <c r="Q9" i="2"/>
  <c r="R9" i="2"/>
  <c r="Q8" i="2"/>
  <c r="R8" i="2" s="1"/>
  <c r="Q7" i="2"/>
  <c r="R7" i="2"/>
  <c r="L21" i="2"/>
  <c r="L19" i="2"/>
  <c r="L17" i="2"/>
  <c r="L16" i="2"/>
  <c r="L15" i="2"/>
  <c r="K14" i="2"/>
  <c r="L14" i="2" s="1"/>
  <c r="K13" i="2"/>
  <c r="L13" i="2"/>
  <c r="K12" i="2"/>
  <c r="L12" i="2" s="1"/>
  <c r="K11" i="2"/>
  <c r="L11" i="2" s="1"/>
  <c r="K10" i="2"/>
  <c r="L10" i="2" s="1"/>
  <c r="K9" i="2"/>
  <c r="L9" i="2" s="1"/>
  <c r="K8" i="2"/>
  <c r="L8" i="2"/>
  <c r="K7" i="2"/>
  <c r="L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/>
  <c r="E15" i="2"/>
  <c r="F15" i="2" s="1"/>
  <c r="E16" i="2"/>
  <c r="F16" i="2" s="1"/>
  <c r="E17" i="2"/>
  <c r="F17" i="2" s="1"/>
  <c r="E19" i="2"/>
  <c r="F19" i="2" s="1"/>
  <c r="E21" i="2"/>
  <c r="F21" i="2"/>
  <c r="E7" i="2"/>
  <c r="F7" i="2" s="1"/>
  <c r="G82" i="2"/>
  <c r="M82" i="2" s="1"/>
  <c r="G81" i="2"/>
  <c r="M81" i="2" s="1"/>
  <c r="G80" i="2"/>
  <c r="M80" i="2" s="1"/>
  <c r="G79" i="2"/>
  <c r="M79" i="2" s="1"/>
  <c r="G78" i="2"/>
  <c r="M78" i="2" s="1"/>
  <c r="G77" i="2"/>
  <c r="M77" i="2" s="1"/>
  <c r="G76" i="2"/>
  <c r="M76" i="2"/>
  <c r="G75" i="2"/>
  <c r="M75" i="2" s="1"/>
  <c r="G74" i="2"/>
  <c r="M74" i="2" s="1"/>
  <c r="G73" i="2"/>
  <c r="M73" i="2"/>
  <c r="G72" i="2"/>
  <c r="M72" i="2" s="1"/>
  <c r="G71" i="2"/>
  <c r="M71" i="2" s="1"/>
  <c r="G70" i="2"/>
  <c r="M70" i="2"/>
  <c r="G69" i="2"/>
  <c r="M69" i="2" s="1"/>
  <c r="G68" i="2"/>
  <c r="M68" i="2"/>
  <c r="G67" i="2"/>
  <c r="M67" i="2" s="1"/>
  <c r="G66" i="2"/>
  <c r="M66" i="2" s="1"/>
  <c r="G65" i="2"/>
  <c r="M65" i="2" s="1"/>
  <c r="G64" i="2"/>
  <c r="M64" i="2" s="1"/>
  <c r="G63" i="2"/>
  <c r="M63" i="2" s="1"/>
  <c r="G62" i="2"/>
  <c r="M62" i="2"/>
  <c r="G61" i="2"/>
  <c r="M61" i="2" s="1"/>
  <c r="G60" i="2"/>
  <c r="M60" i="2" s="1"/>
  <c r="G59" i="2"/>
  <c r="M59" i="2" s="1"/>
  <c r="G58" i="2"/>
  <c r="M58" i="2" s="1"/>
  <c r="G57" i="2"/>
  <c r="M57" i="2" s="1"/>
  <c r="G56" i="2"/>
  <c r="M56" i="2" s="1"/>
  <c r="G55" i="2"/>
  <c r="M55" i="2" s="1"/>
  <c r="G54" i="2"/>
  <c r="M54" i="2"/>
  <c r="G53" i="2"/>
  <c r="M53" i="2" s="1"/>
  <c r="G52" i="2"/>
  <c r="M52" i="2" s="1"/>
  <c r="G51" i="2"/>
  <c r="M51" i="2" s="1"/>
  <c r="G50" i="2"/>
  <c r="M50" i="2" s="1"/>
  <c r="G49" i="2"/>
  <c r="M49" i="2"/>
  <c r="G48" i="2"/>
  <c r="M48" i="2" s="1"/>
  <c r="G47" i="2"/>
  <c r="M47" i="2" s="1"/>
  <c r="G46" i="2"/>
  <c r="M46" i="2" s="1"/>
  <c r="G45" i="2"/>
  <c r="M45" i="2" s="1"/>
  <c r="G44" i="2"/>
  <c r="M44" i="2"/>
  <c r="G43" i="2"/>
  <c r="M43" i="2" s="1"/>
  <c r="G42" i="2"/>
  <c r="M42" i="2" s="1"/>
  <c r="G41" i="2"/>
  <c r="M41" i="2"/>
  <c r="G40" i="2"/>
  <c r="M40" i="2" s="1"/>
  <c r="G39" i="2"/>
  <c r="M39" i="2" s="1"/>
  <c r="G38" i="2"/>
  <c r="M38" i="2"/>
  <c r="G37" i="2"/>
  <c r="M37" i="2" s="1"/>
  <c r="G36" i="2"/>
  <c r="M36" i="2" s="1"/>
  <c r="G35" i="2"/>
  <c r="M35" i="2" s="1"/>
  <c r="G34" i="2"/>
  <c r="M34" i="2" s="1"/>
  <c r="G33" i="2"/>
  <c r="M33" i="2"/>
  <c r="G32" i="2"/>
  <c r="M32" i="2" s="1"/>
  <c r="G31" i="2"/>
  <c r="M31" i="2" s="1"/>
  <c r="G30" i="2"/>
  <c r="M30" i="2" s="1"/>
  <c r="G29" i="2"/>
  <c r="M29" i="2" s="1"/>
  <c r="G28" i="2"/>
  <c r="M28" i="2" s="1"/>
  <c r="G27" i="2"/>
  <c r="M27" i="2" s="1"/>
  <c r="G26" i="2"/>
  <c r="M26" i="2" s="1"/>
  <c r="G25" i="2"/>
  <c r="M25" i="2" s="1"/>
  <c r="G24" i="2"/>
  <c r="M24" i="2" s="1"/>
  <c r="G23" i="2"/>
  <c r="M23" i="2" s="1"/>
  <c r="G22" i="2"/>
  <c r="M22" i="2" s="1"/>
  <c r="G21" i="2"/>
  <c r="M21" i="2" s="1"/>
  <c r="G19" i="2"/>
  <c r="M19" i="2" s="1"/>
  <c r="G17" i="2"/>
  <c r="M17" i="2" s="1"/>
  <c r="G16" i="2"/>
  <c r="M16" i="2" s="1"/>
  <c r="G15" i="2"/>
  <c r="M15" i="2" s="1"/>
  <c r="G14" i="2"/>
  <c r="M14" i="2" s="1"/>
  <c r="G13" i="2"/>
  <c r="M13" i="2" s="1"/>
  <c r="G12" i="2"/>
  <c r="M12" i="2"/>
  <c r="G11" i="2"/>
  <c r="M11" i="2" s="1"/>
  <c r="G10" i="2"/>
  <c r="M10" i="2"/>
  <c r="G9" i="2"/>
  <c r="M9" i="2" s="1"/>
  <c r="G8" i="2"/>
  <c r="M8" i="2" s="1"/>
  <c r="G7" i="2"/>
  <c r="M7" i="2"/>
  <c r="X19" i="9"/>
  <c r="X13" i="9"/>
  <c r="X11" i="9"/>
  <c r="X10" i="9"/>
  <c r="X9" i="9"/>
  <c r="R19" i="9"/>
  <c r="Q13" i="9"/>
  <c r="R13" i="9" s="1"/>
  <c r="Q12" i="9"/>
  <c r="R12" i="9"/>
  <c r="Q11" i="9"/>
  <c r="R11" i="9" s="1"/>
  <c r="Q10" i="9"/>
  <c r="R10" i="9" s="1"/>
  <c r="Q9" i="9"/>
  <c r="R9" i="9" s="1"/>
  <c r="Q8" i="9"/>
  <c r="R8" i="9" s="1"/>
  <c r="Q7" i="9"/>
  <c r="R7" i="9" s="1"/>
  <c r="L19" i="9"/>
  <c r="L13" i="9"/>
  <c r="L12" i="9"/>
  <c r="L11" i="9"/>
  <c r="L10" i="9"/>
  <c r="L9" i="9"/>
  <c r="L8" i="9"/>
  <c r="L7" i="9"/>
  <c r="E8" i="9"/>
  <c r="F8" i="9" s="1"/>
  <c r="F9" i="9"/>
  <c r="F10" i="9"/>
  <c r="F11" i="9"/>
  <c r="F13" i="9"/>
  <c r="F19" i="9"/>
  <c r="E7" i="9"/>
  <c r="F7" i="9"/>
  <c r="G87" i="9"/>
  <c r="M87" i="9" s="1"/>
  <c r="S87" i="9" s="1"/>
  <c r="G86" i="9"/>
  <c r="M86" i="9" s="1"/>
  <c r="S86" i="9" s="1"/>
  <c r="G85" i="9"/>
  <c r="M85" i="9"/>
  <c r="S85" i="9" s="1"/>
  <c r="G84" i="9"/>
  <c r="M84" i="9"/>
  <c r="S84" i="9"/>
  <c r="G83" i="9"/>
  <c r="M83" i="9"/>
  <c r="S83" i="9" s="1"/>
  <c r="G82" i="9"/>
  <c r="M82" i="9"/>
  <c r="S82" i="9" s="1"/>
  <c r="G81" i="9"/>
  <c r="M81" i="9"/>
  <c r="S81" i="9"/>
  <c r="G80" i="9"/>
  <c r="M80" i="9" s="1"/>
  <c r="S80" i="9"/>
  <c r="G79" i="9"/>
  <c r="M79" i="9"/>
  <c r="S79" i="9" s="1"/>
  <c r="G78" i="9"/>
  <c r="M78" i="9" s="1"/>
  <c r="S78" i="9"/>
  <c r="G77" i="9"/>
  <c r="M77" i="9"/>
  <c r="S77" i="9" s="1"/>
  <c r="G76" i="9"/>
  <c r="M76" i="9"/>
  <c r="S76" i="9" s="1"/>
  <c r="G75" i="9"/>
  <c r="M75" i="9" s="1"/>
  <c r="S75" i="9" s="1"/>
  <c r="G74" i="9"/>
  <c r="M74" i="9" s="1"/>
  <c r="S74" i="9"/>
  <c r="G73" i="9"/>
  <c r="M73" i="9"/>
  <c r="S73" i="9" s="1"/>
  <c r="G72" i="9"/>
  <c r="M72" i="9" s="1"/>
  <c r="S72" i="9"/>
  <c r="G71" i="9"/>
  <c r="M71" i="9" s="1"/>
  <c r="S71" i="9" s="1"/>
  <c r="G70" i="9"/>
  <c r="M70" i="9"/>
  <c r="S70" i="9" s="1"/>
  <c r="G69" i="9"/>
  <c r="M69" i="9"/>
  <c r="S69" i="9" s="1"/>
  <c r="G68" i="9"/>
  <c r="M68" i="9" s="1"/>
  <c r="S68" i="9" s="1"/>
  <c r="G67" i="9"/>
  <c r="M67" i="9"/>
  <c r="S67" i="9" s="1"/>
  <c r="G66" i="9"/>
  <c r="M66" i="9"/>
  <c r="S66" i="9" s="1"/>
  <c r="G65" i="9"/>
  <c r="M65" i="9" s="1"/>
  <c r="S65" i="9" s="1"/>
  <c r="G64" i="9"/>
  <c r="M64" i="9" s="1"/>
  <c r="S64" i="9"/>
  <c r="G63" i="9"/>
  <c r="M63" i="9"/>
  <c r="S63" i="9" s="1"/>
  <c r="G62" i="9"/>
  <c r="M62" i="9" s="1"/>
  <c r="S62" i="9" s="1"/>
  <c r="G61" i="9"/>
  <c r="M61" i="9"/>
  <c r="S61" i="9"/>
  <c r="G60" i="9"/>
  <c r="M60" i="9"/>
  <c r="S60" i="9" s="1"/>
  <c r="G59" i="9"/>
  <c r="M59" i="9" s="1"/>
  <c r="S59" i="9" s="1"/>
  <c r="G58" i="9"/>
  <c r="M58" i="9" s="1"/>
  <c r="S58" i="9" s="1"/>
  <c r="G57" i="9"/>
  <c r="M57" i="9"/>
  <c r="S57" i="9" s="1"/>
  <c r="G56" i="9"/>
  <c r="M56" i="9" s="1"/>
  <c r="S56" i="9" s="1"/>
  <c r="G55" i="9"/>
  <c r="M55" i="9"/>
  <c r="S55" i="9" s="1"/>
  <c r="G54" i="9"/>
  <c r="M54" i="9"/>
  <c r="S54" i="9" s="1"/>
  <c r="G53" i="9"/>
  <c r="M53" i="9"/>
  <c r="S53" i="9" s="1"/>
  <c r="G52" i="9"/>
  <c r="M52" i="9" s="1"/>
  <c r="S52" i="9" s="1"/>
  <c r="G51" i="9"/>
  <c r="M51" i="9"/>
  <c r="S51" i="9" s="1"/>
  <c r="G50" i="9"/>
  <c r="M50" i="9"/>
  <c r="S50" i="9"/>
  <c r="G49" i="9"/>
  <c r="M49" i="9" s="1"/>
  <c r="S49" i="9" s="1"/>
  <c r="G48" i="9"/>
  <c r="M48" i="9" s="1"/>
  <c r="S48" i="9" s="1"/>
  <c r="G47" i="9"/>
  <c r="M47" i="9"/>
  <c r="S47" i="9" s="1"/>
  <c r="G46" i="9"/>
  <c r="M46" i="9" s="1"/>
  <c r="S46" i="9" s="1"/>
  <c r="G45" i="9"/>
  <c r="M45" i="9"/>
  <c r="S45" i="9" s="1"/>
  <c r="G44" i="9"/>
  <c r="M44" i="9"/>
  <c r="S44" i="9"/>
  <c r="G43" i="9"/>
  <c r="M43" i="9" s="1"/>
  <c r="S43" i="9" s="1"/>
  <c r="G42" i="9"/>
  <c r="M42" i="9" s="1"/>
  <c r="S42" i="9"/>
  <c r="G41" i="9"/>
  <c r="M41" i="9" s="1"/>
  <c r="S41" i="9" s="1"/>
  <c r="G40" i="9"/>
  <c r="M40" i="9" s="1"/>
  <c r="S40" i="9"/>
  <c r="G39" i="9"/>
  <c r="M39" i="9"/>
  <c r="S39" i="9" s="1"/>
  <c r="G38" i="9"/>
  <c r="M38" i="9" s="1"/>
  <c r="S38" i="9" s="1"/>
  <c r="G37" i="9"/>
  <c r="M37" i="9"/>
  <c r="S37" i="9" s="1"/>
  <c r="G36" i="9"/>
  <c r="M36" i="9"/>
  <c r="S36" i="9" s="1"/>
  <c r="G35" i="9"/>
  <c r="M35" i="9"/>
  <c r="S35" i="9" s="1"/>
  <c r="G34" i="9"/>
  <c r="M34" i="9" s="1"/>
  <c r="S34" i="9" s="1"/>
  <c r="G33" i="9"/>
  <c r="M33" i="9" s="1"/>
  <c r="S33" i="9" s="1"/>
  <c r="G32" i="9"/>
  <c r="M32" i="9" s="1"/>
  <c r="S32" i="9"/>
  <c r="G31" i="9"/>
  <c r="M31" i="9"/>
  <c r="S31" i="9"/>
  <c r="G30" i="9"/>
  <c r="M30" i="9" s="1"/>
  <c r="S30" i="9"/>
  <c r="G29" i="9"/>
  <c r="M29" i="9"/>
  <c r="S29" i="9"/>
  <c r="G28" i="9"/>
  <c r="M28" i="9" s="1"/>
  <c r="S28" i="9" s="1"/>
  <c r="G27" i="9"/>
  <c r="M27" i="9" s="1"/>
  <c r="S27" i="9" s="1"/>
  <c r="G26" i="9"/>
  <c r="M26" i="9" s="1"/>
  <c r="S26" i="9"/>
  <c r="G25" i="9"/>
  <c r="M25" i="9"/>
  <c r="S25" i="9" s="1"/>
  <c r="G24" i="9"/>
  <c r="M24" i="9" s="1"/>
  <c r="S24" i="9" s="1"/>
  <c r="G23" i="9"/>
  <c r="M23" i="9"/>
  <c r="S23" i="9"/>
  <c r="G22" i="9"/>
  <c r="M22" i="9" s="1"/>
  <c r="S22" i="9" s="1"/>
  <c r="G21" i="9"/>
  <c r="M21" i="9"/>
  <c r="S21" i="9" s="1"/>
  <c r="G20" i="9"/>
  <c r="M20" i="9"/>
  <c r="S20" i="9"/>
  <c r="G19" i="9"/>
  <c r="M19" i="9"/>
  <c r="S19" i="9" s="1"/>
  <c r="G13" i="9"/>
  <c r="M13" i="9"/>
  <c r="S13" i="9" s="1"/>
  <c r="G12" i="9"/>
  <c r="M12" i="9"/>
  <c r="S12" i="9"/>
  <c r="G11" i="9"/>
  <c r="M11" i="9" s="1"/>
  <c r="S11" i="9" s="1"/>
  <c r="G10" i="9"/>
  <c r="M10" i="9"/>
  <c r="S10" i="9" s="1"/>
  <c r="G9" i="9"/>
  <c r="M9" i="9" s="1"/>
  <c r="S9" i="9"/>
  <c r="G8" i="9"/>
  <c r="M8" i="9"/>
  <c r="S8" i="9"/>
  <c r="G7" i="9"/>
  <c r="M7" i="9"/>
  <c r="S7" i="9" s="1"/>
  <c r="R16" i="8"/>
  <c r="R10" i="8"/>
  <c r="R11" i="8"/>
  <c r="R18" i="8"/>
  <c r="R15" i="8"/>
  <c r="R14" i="8"/>
  <c r="R13" i="8"/>
  <c r="R12" i="8"/>
  <c r="R9" i="8"/>
  <c r="R8" i="8"/>
  <c r="R7" i="8"/>
  <c r="K8" i="8"/>
  <c r="L8" i="8"/>
  <c r="K9" i="8"/>
  <c r="L9" i="8"/>
  <c r="K13" i="8"/>
  <c r="L13" i="8" s="1"/>
  <c r="K14" i="8"/>
  <c r="L14" i="8" s="1"/>
  <c r="K15" i="8"/>
  <c r="L15" i="8" s="1"/>
  <c r="K7" i="8"/>
  <c r="L7" i="8" s="1"/>
  <c r="K11" i="8"/>
  <c r="L11" i="8" s="1"/>
  <c r="K12" i="8"/>
  <c r="L12" i="8" s="1"/>
  <c r="L18" i="8"/>
  <c r="L17" i="8"/>
  <c r="F8" i="8"/>
  <c r="F9" i="8"/>
  <c r="F10" i="8"/>
  <c r="F11" i="8"/>
  <c r="F12" i="8"/>
  <c r="F13" i="8"/>
  <c r="F14" i="8"/>
  <c r="F16" i="8"/>
  <c r="F18" i="8"/>
  <c r="F7" i="8"/>
  <c r="G15" i="8"/>
  <c r="M15" i="8" s="1"/>
  <c r="G81" i="8"/>
  <c r="M81" i="8" s="1"/>
  <c r="G80" i="8"/>
  <c r="M80" i="8"/>
  <c r="G79" i="8"/>
  <c r="M79" i="8" s="1"/>
  <c r="G78" i="8"/>
  <c r="M78" i="8"/>
  <c r="G77" i="8"/>
  <c r="M77" i="8" s="1"/>
  <c r="G76" i="8"/>
  <c r="M76" i="8" s="1"/>
  <c r="G75" i="8"/>
  <c r="M75" i="8"/>
  <c r="G74" i="8"/>
  <c r="M74" i="8" s="1"/>
  <c r="G73" i="8"/>
  <c r="M73" i="8" s="1"/>
  <c r="G72" i="8"/>
  <c r="M72" i="8"/>
  <c r="G71" i="8"/>
  <c r="M71" i="8" s="1"/>
  <c r="G70" i="8"/>
  <c r="M70" i="8"/>
  <c r="G69" i="8"/>
  <c r="M69" i="8" s="1"/>
  <c r="G68" i="8"/>
  <c r="M68" i="8" s="1"/>
  <c r="G67" i="8"/>
  <c r="M67" i="8"/>
  <c r="G66" i="8"/>
  <c r="M66" i="8" s="1"/>
  <c r="G65" i="8"/>
  <c r="M65" i="8" s="1"/>
  <c r="G64" i="8"/>
  <c r="M64" i="8"/>
  <c r="G63" i="8"/>
  <c r="M63" i="8" s="1"/>
  <c r="G62" i="8"/>
  <c r="M62" i="8"/>
  <c r="G61" i="8"/>
  <c r="M61" i="8" s="1"/>
  <c r="G60" i="8"/>
  <c r="M60" i="8" s="1"/>
  <c r="G59" i="8"/>
  <c r="M59" i="8"/>
  <c r="G58" i="8"/>
  <c r="M58" i="8" s="1"/>
  <c r="G57" i="8"/>
  <c r="M57" i="8" s="1"/>
  <c r="G56" i="8"/>
  <c r="M56" i="8"/>
  <c r="G55" i="8"/>
  <c r="M55" i="8"/>
  <c r="G54" i="8"/>
  <c r="M54" i="8"/>
  <c r="G53" i="8"/>
  <c r="M53" i="8" s="1"/>
  <c r="G52" i="8"/>
  <c r="M52" i="8" s="1"/>
  <c r="G51" i="8"/>
  <c r="M51" i="8"/>
  <c r="G50" i="8"/>
  <c r="M50" i="8" s="1"/>
  <c r="G49" i="8"/>
  <c r="M49" i="8" s="1"/>
  <c r="G48" i="8"/>
  <c r="M48" i="8"/>
  <c r="G47" i="8"/>
  <c r="M47" i="8" s="1"/>
  <c r="G46" i="8"/>
  <c r="M46" i="8"/>
  <c r="G45" i="8"/>
  <c r="M45" i="8" s="1"/>
  <c r="G44" i="8"/>
  <c r="M44" i="8" s="1"/>
  <c r="G43" i="8"/>
  <c r="M43" i="8"/>
  <c r="G42" i="8"/>
  <c r="M42" i="8" s="1"/>
  <c r="G41" i="8"/>
  <c r="M41" i="8" s="1"/>
  <c r="G40" i="8"/>
  <c r="M40" i="8"/>
  <c r="G39" i="8"/>
  <c r="M39" i="8" s="1"/>
  <c r="G38" i="8"/>
  <c r="M38" i="8"/>
  <c r="G37" i="8"/>
  <c r="M37" i="8" s="1"/>
  <c r="G36" i="8"/>
  <c r="M36" i="8" s="1"/>
  <c r="G35" i="8"/>
  <c r="M35" i="8"/>
  <c r="G34" i="8"/>
  <c r="M34" i="8" s="1"/>
  <c r="G33" i="8"/>
  <c r="M33" i="8" s="1"/>
  <c r="G32" i="8"/>
  <c r="M32" i="8"/>
  <c r="G31" i="8"/>
  <c r="M31" i="8" s="1"/>
  <c r="G30" i="8"/>
  <c r="M30" i="8"/>
  <c r="G29" i="8"/>
  <c r="M29" i="8" s="1"/>
  <c r="G28" i="8"/>
  <c r="M28" i="8" s="1"/>
  <c r="G27" i="8"/>
  <c r="M27" i="8"/>
  <c r="G26" i="8"/>
  <c r="M26" i="8" s="1"/>
  <c r="G25" i="8"/>
  <c r="M25" i="8" s="1"/>
  <c r="G24" i="8"/>
  <c r="M24" i="8"/>
  <c r="G23" i="8"/>
  <c r="M23" i="8"/>
  <c r="G22" i="8"/>
  <c r="M22" i="8"/>
  <c r="G21" i="8"/>
  <c r="M21" i="8" s="1"/>
  <c r="G20" i="8"/>
  <c r="M20" i="8" s="1"/>
  <c r="G19" i="8"/>
  <c r="M19" i="8"/>
  <c r="G18" i="8"/>
  <c r="M18" i="8" s="1"/>
  <c r="G17" i="8"/>
  <c r="M17" i="8" s="1"/>
  <c r="G16" i="8"/>
  <c r="M16" i="8"/>
  <c r="G14" i="8"/>
  <c r="M14" i="8" s="1"/>
  <c r="G13" i="8"/>
  <c r="M13" i="8"/>
  <c r="G12" i="8"/>
  <c r="M12" i="8" s="1"/>
  <c r="G11" i="8"/>
  <c r="M11" i="8" s="1"/>
  <c r="G10" i="8"/>
  <c r="M10" i="8"/>
  <c r="G9" i="8"/>
  <c r="M9" i="8" s="1"/>
  <c r="G8" i="8"/>
  <c r="M8" i="8" s="1"/>
  <c r="G7" i="8"/>
  <c r="M7" i="8"/>
  <c r="R12" i="7"/>
  <c r="R11" i="7"/>
  <c r="R10" i="7"/>
  <c r="R9" i="7"/>
  <c r="R8" i="7"/>
  <c r="R7" i="7"/>
  <c r="L15" i="7"/>
  <c r="L11" i="7"/>
  <c r="L10" i="7"/>
  <c r="L9" i="7"/>
  <c r="L8" i="7"/>
  <c r="L7" i="7"/>
  <c r="F8" i="7"/>
  <c r="F9" i="7"/>
  <c r="F10" i="7"/>
  <c r="F12" i="7"/>
  <c r="F15" i="7"/>
  <c r="F7" i="7"/>
  <c r="G82" i="7"/>
  <c r="M82" i="7"/>
  <c r="G81" i="7"/>
  <c r="M81" i="7" s="1"/>
  <c r="G80" i="7"/>
  <c r="M80" i="7" s="1"/>
  <c r="G79" i="7"/>
  <c r="M79" i="7"/>
  <c r="G78" i="7"/>
  <c r="M78" i="7" s="1"/>
  <c r="G77" i="7"/>
  <c r="M77" i="7" s="1"/>
  <c r="G76" i="7"/>
  <c r="M76" i="7"/>
  <c r="G75" i="7"/>
  <c r="M75" i="7" s="1"/>
  <c r="G74" i="7"/>
  <c r="M74" i="7"/>
  <c r="G73" i="7"/>
  <c r="M73" i="7" s="1"/>
  <c r="G72" i="7"/>
  <c r="M72" i="7" s="1"/>
  <c r="G71" i="7"/>
  <c r="M71" i="7"/>
  <c r="G70" i="7"/>
  <c r="M70" i="7" s="1"/>
  <c r="G69" i="7"/>
  <c r="M69" i="7" s="1"/>
  <c r="G68" i="7"/>
  <c r="M68" i="7"/>
  <c r="G67" i="7"/>
  <c r="M67" i="7"/>
  <c r="G66" i="7"/>
  <c r="M66" i="7"/>
  <c r="G65" i="7"/>
  <c r="M65" i="7" s="1"/>
  <c r="G64" i="7"/>
  <c r="M64" i="7" s="1"/>
  <c r="G63" i="7"/>
  <c r="M63" i="7"/>
  <c r="G62" i="7"/>
  <c r="M62" i="7" s="1"/>
  <c r="G61" i="7"/>
  <c r="M61" i="7" s="1"/>
  <c r="G60" i="7"/>
  <c r="M60" i="7"/>
  <c r="G59" i="7"/>
  <c r="M59" i="7" s="1"/>
  <c r="G58" i="7"/>
  <c r="M58" i="7"/>
  <c r="G57" i="7"/>
  <c r="M57" i="7" s="1"/>
  <c r="G56" i="7"/>
  <c r="M56" i="7" s="1"/>
  <c r="G55" i="7"/>
  <c r="M55" i="7"/>
  <c r="G54" i="7"/>
  <c r="M54" i="7" s="1"/>
  <c r="G53" i="7"/>
  <c r="M53" i="7" s="1"/>
  <c r="G52" i="7"/>
  <c r="M52" i="7"/>
  <c r="G51" i="7"/>
  <c r="M51" i="7" s="1"/>
  <c r="G50" i="7"/>
  <c r="M50" i="7"/>
  <c r="G49" i="7"/>
  <c r="M49" i="7" s="1"/>
  <c r="G48" i="7"/>
  <c r="M48" i="7" s="1"/>
  <c r="G47" i="7"/>
  <c r="M47" i="7"/>
  <c r="G46" i="7"/>
  <c r="M46" i="7" s="1"/>
  <c r="G45" i="7"/>
  <c r="M45" i="7" s="1"/>
  <c r="G44" i="7"/>
  <c r="M44" i="7"/>
  <c r="G43" i="7"/>
  <c r="M43" i="7" s="1"/>
  <c r="G42" i="7"/>
  <c r="M42" i="7"/>
  <c r="G41" i="7"/>
  <c r="M41" i="7" s="1"/>
  <c r="G40" i="7"/>
  <c r="M40" i="7" s="1"/>
  <c r="G39" i="7"/>
  <c r="M39" i="7"/>
  <c r="G38" i="7"/>
  <c r="M38" i="7" s="1"/>
  <c r="G37" i="7"/>
  <c r="M37" i="7" s="1"/>
  <c r="G36" i="7"/>
  <c r="M36" i="7"/>
  <c r="G35" i="7"/>
  <c r="M35" i="7"/>
  <c r="G34" i="7"/>
  <c r="M34" i="7"/>
  <c r="G33" i="7"/>
  <c r="M33" i="7" s="1"/>
  <c r="G32" i="7"/>
  <c r="M32" i="7" s="1"/>
  <c r="G31" i="7"/>
  <c r="M31" i="7"/>
  <c r="G30" i="7"/>
  <c r="M30" i="7" s="1"/>
  <c r="G29" i="7"/>
  <c r="M29" i="7" s="1"/>
  <c r="G28" i="7"/>
  <c r="M28" i="7"/>
  <c r="G27" i="7"/>
  <c r="M27" i="7" s="1"/>
  <c r="G26" i="7"/>
  <c r="M26" i="7"/>
  <c r="G25" i="7"/>
  <c r="M25" i="7" s="1"/>
  <c r="G24" i="7"/>
  <c r="M24" i="7" s="1"/>
  <c r="G23" i="7"/>
  <c r="M23" i="7"/>
  <c r="G22" i="7"/>
  <c r="M22" i="7" s="1"/>
  <c r="G21" i="7"/>
  <c r="M21" i="7"/>
  <c r="G20" i="7"/>
  <c r="M20" i="7"/>
  <c r="G19" i="7"/>
  <c r="M19" i="7" s="1"/>
  <c r="G18" i="7"/>
  <c r="M18" i="7" s="1"/>
  <c r="G17" i="7"/>
  <c r="M17" i="7"/>
  <c r="G16" i="7"/>
  <c r="M16" i="7" s="1"/>
  <c r="G15" i="7"/>
  <c r="M15" i="7" s="1"/>
  <c r="G12" i="7"/>
  <c r="M12" i="7" s="1"/>
  <c r="G11" i="7"/>
  <c r="M11" i="7"/>
  <c r="G10" i="7"/>
  <c r="M10" i="7"/>
  <c r="G9" i="7"/>
  <c r="M9" i="7" s="1"/>
  <c r="G8" i="7"/>
  <c r="M8" i="7" s="1"/>
  <c r="G7" i="7"/>
  <c r="M7" i="7"/>
  <c r="R18" i="6"/>
  <c r="R15" i="6"/>
  <c r="R13" i="6"/>
  <c r="R12" i="6"/>
  <c r="R11" i="6"/>
  <c r="R10" i="6"/>
  <c r="R9" i="6"/>
  <c r="R8" i="6"/>
  <c r="R7" i="6"/>
  <c r="L18" i="6"/>
  <c r="L15" i="6"/>
  <c r="L13" i="6"/>
  <c r="L12" i="6"/>
  <c r="L11" i="6"/>
  <c r="L10" i="6"/>
  <c r="K9" i="6"/>
  <c r="L9" i="6"/>
  <c r="K8" i="6"/>
  <c r="L8" i="6"/>
  <c r="K7" i="6"/>
  <c r="L7" i="6"/>
  <c r="F8" i="6"/>
  <c r="F9" i="6"/>
  <c r="F11" i="6"/>
  <c r="F12" i="6"/>
  <c r="F13" i="6"/>
  <c r="F15" i="6"/>
  <c r="F7" i="6"/>
  <c r="G84" i="6"/>
  <c r="M84" i="6" s="1"/>
  <c r="G83" i="6"/>
  <c r="M83" i="6"/>
  <c r="G82" i="6"/>
  <c r="M82" i="6" s="1"/>
  <c r="G81" i="6"/>
  <c r="M81" i="6" s="1"/>
  <c r="G80" i="6"/>
  <c r="M80" i="6" s="1"/>
  <c r="G79" i="6"/>
  <c r="M79" i="6"/>
  <c r="G78" i="6"/>
  <c r="M78" i="6"/>
  <c r="G77" i="6"/>
  <c r="M77" i="6" s="1"/>
  <c r="G76" i="6"/>
  <c r="M76" i="6" s="1"/>
  <c r="G75" i="6"/>
  <c r="M75" i="6"/>
  <c r="G74" i="6"/>
  <c r="M74" i="6" s="1"/>
  <c r="G73" i="6"/>
  <c r="M73" i="6" s="1"/>
  <c r="G72" i="6"/>
  <c r="M72" i="6" s="1"/>
  <c r="G71" i="6"/>
  <c r="M71" i="6"/>
  <c r="G70" i="6"/>
  <c r="M70" i="6"/>
  <c r="G69" i="6"/>
  <c r="M69" i="6" s="1"/>
  <c r="G68" i="6"/>
  <c r="M68" i="6" s="1"/>
  <c r="G67" i="6"/>
  <c r="M67" i="6"/>
  <c r="G66" i="6"/>
  <c r="M66" i="6" s="1"/>
  <c r="G65" i="6"/>
  <c r="M65" i="6" s="1"/>
  <c r="G64" i="6"/>
  <c r="M64" i="6" s="1"/>
  <c r="G63" i="6"/>
  <c r="M63" i="6"/>
  <c r="G62" i="6"/>
  <c r="M62" i="6"/>
  <c r="G61" i="6"/>
  <c r="M61" i="6" s="1"/>
  <c r="G60" i="6"/>
  <c r="M60" i="6" s="1"/>
  <c r="G59" i="6"/>
  <c r="M59" i="6"/>
  <c r="G58" i="6"/>
  <c r="M58" i="6" s="1"/>
  <c r="G57" i="6"/>
  <c r="M57" i="6" s="1"/>
  <c r="G56" i="6"/>
  <c r="M56" i="6" s="1"/>
  <c r="G55" i="6"/>
  <c r="M55" i="6"/>
  <c r="G54" i="6"/>
  <c r="M54" i="6"/>
  <c r="G53" i="6"/>
  <c r="M53" i="6" s="1"/>
  <c r="G52" i="6"/>
  <c r="M52" i="6" s="1"/>
  <c r="G51" i="6"/>
  <c r="M51" i="6"/>
  <c r="G50" i="6"/>
  <c r="M50" i="6" s="1"/>
  <c r="G49" i="6"/>
  <c r="M49" i="6" s="1"/>
  <c r="G48" i="6"/>
  <c r="M48" i="6" s="1"/>
  <c r="G47" i="6"/>
  <c r="M47" i="6"/>
  <c r="G46" i="6"/>
  <c r="M46" i="6"/>
  <c r="G45" i="6"/>
  <c r="M45" i="6" s="1"/>
  <c r="G44" i="6"/>
  <c r="M44" i="6" s="1"/>
  <c r="G43" i="6"/>
  <c r="M43" i="6"/>
  <c r="G42" i="6"/>
  <c r="M42" i="6" s="1"/>
  <c r="G41" i="6"/>
  <c r="M41" i="6" s="1"/>
  <c r="G40" i="6"/>
  <c r="M40" i="6" s="1"/>
  <c r="G39" i="6"/>
  <c r="M39" i="6"/>
  <c r="G38" i="6"/>
  <c r="M38" i="6"/>
  <c r="G37" i="6"/>
  <c r="M37" i="6" s="1"/>
  <c r="G36" i="6"/>
  <c r="M36" i="6" s="1"/>
  <c r="G35" i="6"/>
  <c r="M35" i="6"/>
  <c r="G34" i="6"/>
  <c r="M34" i="6" s="1"/>
  <c r="G33" i="6"/>
  <c r="M33" i="6" s="1"/>
  <c r="G32" i="6"/>
  <c r="M32" i="6" s="1"/>
  <c r="G31" i="6"/>
  <c r="M31" i="6"/>
  <c r="G30" i="6"/>
  <c r="M30" i="6"/>
  <c r="G29" i="6"/>
  <c r="M29" i="6" s="1"/>
  <c r="G28" i="6"/>
  <c r="M28" i="6" s="1"/>
  <c r="G27" i="6"/>
  <c r="M27" i="6"/>
  <c r="G26" i="6"/>
  <c r="M26" i="6" s="1"/>
  <c r="G25" i="6"/>
  <c r="M25" i="6" s="1"/>
  <c r="G24" i="6"/>
  <c r="M24" i="6" s="1"/>
  <c r="G23" i="6"/>
  <c r="M23" i="6"/>
  <c r="G22" i="6"/>
  <c r="M22" i="6"/>
  <c r="G21" i="6"/>
  <c r="M21" i="6" s="1"/>
  <c r="M20" i="6"/>
  <c r="G18" i="6"/>
  <c r="M18" i="6" s="1"/>
  <c r="G15" i="6"/>
  <c r="M15" i="6"/>
  <c r="G13" i="6"/>
  <c r="M13" i="6"/>
  <c r="G12" i="6"/>
  <c r="M12" i="6"/>
  <c r="G11" i="6"/>
  <c r="M11" i="6" s="1"/>
  <c r="G10" i="6"/>
  <c r="M10" i="6"/>
  <c r="G9" i="6"/>
  <c r="M9" i="6" s="1"/>
  <c r="G8" i="6"/>
  <c r="M8" i="6"/>
  <c r="G7" i="6"/>
  <c r="M7" i="6" s="1"/>
  <c r="S14" i="9"/>
  <c r="F88" i="12"/>
  <c r="F90" i="12"/>
  <c r="F92" i="12"/>
  <c r="F94" i="12"/>
  <c r="F96" i="12"/>
  <c r="F98" i="12"/>
  <c r="F100" i="12"/>
  <c r="F102" i="12"/>
  <c r="F87" i="12"/>
  <c r="F89" i="12"/>
  <c r="F91" i="12"/>
  <c r="F95" i="12"/>
  <c r="F97" i="12"/>
  <c r="F101" i="12"/>
  <c r="F18" i="12"/>
  <c r="F22" i="12"/>
  <c r="F30" i="12"/>
  <c r="F34" i="12"/>
  <c r="F38" i="12"/>
  <c r="F24" i="12"/>
  <c r="F28" i="12"/>
  <c r="F32" i="12"/>
  <c r="F36" i="12"/>
  <c r="F65" i="12"/>
  <c r="F70" i="12"/>
  <c r="F41" i="12"/>
  <c r="F68" i="12"/>
  <c r="F27" i="12"/>
  <c r="F31" i="12"/>
  <c r="F74" i="12"/>
  <c r="F52" i="12"/>
  <c r="F56" i="12"/>
  <c r="F60" i="12"/>
  <c r="F64" i="12"/>
  <c r="F71" i="12"/>
  <c r="F25" i="12"/>
  <c r="F35" i="12"/>
  <c r="F51" i="12"/>
  <c r="F76" i="12" s="1"/>
  <c r="F57" i="12"/>
  <c r="F75" i="12" s="1"/>
  <c r="F62" i="12"/>
  <c r="F69" i="12"/>
  <c r="X8" i="1"/>
  <c r="X6" i="1"/>
  <c r="X10" i="1"/>
  <c r="X14" i="1"/>
  <c r="F55" i="12"/>
  <c r="F84" i="12"/>
  <c r="F86" i="12"/>
  <c r="F54" i="12"/>
  <c r="F59" i="12"/>
  <c r="F61" i="12"/>
  <c r="F21" i="12"/>
  <c r="F29" i="12"/>
  <c r="F53" i="12"/>
  <c r="X5" i="1"/>
  <c r="X7" i="1"/>
  <c r="F106" i="12" l="1"/>
  <c r="F107" i="12"/>
  <c r="F43" i="12"/>
</calcChain>
</file>

<file path=xl/sharedStrings.xml><?xml version="1.0" encoding="utf-8"?>
<sst xmlns="http://schemas.openxmlformats.org/spreadsheetml/2006/main" count="1067" uniqueCount="251">
  <si>
    <t>Дата</t>
  </si>
  <si>
    <t>Пункт</t>
  </si>
  <si>
    <t>Измерен.</t>
  </si>
  <si>
    <t>расст., м</t>
  </si>
  <si>
    <t>Пост.нач.</t>
  </si>
  <si>
    <t>(ПН)</t>
  </si>
  <si>
    <t>Расст.от</t>
  </si>
  <si>
    <t xml:space="preserve">пункта </t>
  </si>
  <si>
    <t>до ПН, м</t>
  </si>
  <si>
    <t xml:space="preserve">бровки </t>
  </si>
  <si>
    <t>ПРОФИЛЬ № 60</t>
  </si>
  <si>
    <t>ПРОФИЛЬ № 61</t>
  </si>
  <si>
    <t>ПРОФИЛЬ № 62</t>
  </si>
  <si>
    <t>ПРОФИЛЬ № 49</t>
  </si>
  <si>
    <t>ПРОФИЛЬ № 50</t>
  </si>
  <si>
    <t>ПРОФИЛЬ № 51</t>
  </si>
  <si>
    <t>Синий</t>
  </si>
  <si>
    <t>Уг.жел.</t>
  </si>
  <si>
    <t>В яме</t>
  </si>
  <si>
    <t>Круглый</t>
  </si>
  <si>
    <t>136В</t>
  </si>
  <si>
    <t>136А</t>
  </si>
  <si>
    <t>138А</t>
  </si>
  <si>
    <t>3С</t>
  </si>
  <si>
    <t>140D</t>
  </si>
  <si>
    <t>5C</t>
  </si>
  <si>
    <t>5C2</t>
  </si>
  <si>
    <t>140А</t>
  </si>
  <si>
    <t>140С</t>
  </si>
  <si>
    <t>ПРОФИЛЬ № 1</t>
  </si>
  <si>
    <t>ПРОФИЛЬ № 2</t>
  </si>
  <si>
    <t>ПРОФИЛЬ № 3</t>
  </si>
  <si>
    <t>1а</t>
  </si>
  <si>
    <t>2а</t>
  </si>
  <si>
    <t>21(нов.)</t>
  </si>
  <si>
    <t>3а</t>
  </si>
  <si>
    <t>ПРОФИЛЬ № 57</t>
  </si>
  <si>
    <t>ПРОФИЛЬ № 58</t>
  </si>
  <si>
    <t>ПРОФИЛЬ № 59</t>
  </si>
  <si>
    <t>шт. 1</t>
  </si>
  <si>
    <t>шт. 2</t>
  </si>
  <si>
    <t>шт. 3</t>
  </si>
  <si>
    <t>ПРОФИЛЬ № 52</t>
  </si>
  <si>
    <t>ПРОФИЛЬ № 53</t>
  </si>
  <si>
    <t>ПРОФИЛЬ № 54</t>
  </si>
  <si>
    <t>124F</t>
  </si>
  <si>
    <t>шт. 7407</t>
  </si>
  <si>
    <t>124В</t>
  </si>
  <si>
    <t>124D</t>
  </si>
  <si>
    <t>126В</t>
  </si>
  <si>
    <t>126С</t>
  </si>
  <si>
    <t>128В</t>
  </si>
  <si>
    <t>128А</t>
  </si>
  <si>
    <t>1в</t>
  </si>
  <si>
    <t>ПРОФИЛЬ № 4</t>
  </si>
  <si>
    <t>3б</t>
  </si>
  <si>
    <t>ПРОФИЛЬ № 5</t>
  </si>
  <si>
    <t>ПРОФИЛЬ № 6</t>
  </si>
  <si>
    <t>шт. 4</t>
  </si>
  <si>
    <t>шт. 5</t>
  </si>
  <si>
    <t>шт. 6</t>
  </si>
  <si>
    <t>1а (9305)</t>
  </si>
  <si>
    <t>2б</t>
  </si>
  <si>
    <t>2б (8806)</t>
  </si>
  <si>
    <t>2б (9305)</t>
  </si>
  <si>
    <t>2а (черн.)</t>
  </si>
  <si>
    <t>2а (бел.)</t>
  </si>
  <si>
    <t>1а (9507)</t>
  </si>
  <si>
    <t>1а (нижн.)</t>
  </si>
  <si>
    <t>2в</t>
  </si>
  <si>
    <t>3в</t>
  </si>
  <si>
    <t>3а (нов.)</t>
  </si>
  <si>
    <t>1а (верх.)</t>
  </si>
  <si>
    <t>136В(0907)</t>
  </si>
  <si>
    <t>138А(0907)</t>
  </si>
  <si>
    <t>126В*</t>
  </si>
  <si>
    <t>*Примечание: Реперы профиля 53 не сохранились: их положение определялось по GPS и внешним ориентирам.</t>
  </si>
  <si>
    <t>128С</t>
  </si>
  <si>
    <t>133*</t>
  </si>
  <si>
    <t>131*</t>
  </si>
  <si>
    <t>129*</t>
  </si>
  <si>
    <t>*Измерения прямым и обратным ходами. Результаты ходов: ПРФ 57: 66,02 и 66,00 м; ПРФ 58: 71,59 и 71,51 м; ПРФ 59: 94,20 и 93,95 м.</t>
  </si>
  <si>
    <t>1,70*</t>
  </si>
  <si>
    <t>54,14*</t>
  </si>
  <si>
    <t>55,84*</t>
  </si>
  <si>
    <t>1а**</t>
  </si>
  <si>
    <t>1*</t>
  </si>
  <si>
    <t>3*</t>
  </si>
  <si>
    <t>Двойное измерение: 27,10 и 27,02 м.</t>
  </si>
  <si>
    <t>1а (нижн.)*</t>
  </si>
  <si>
    <t>*Из журнала "ВПУ-2006; Зд.: набл. на УПБ": здесь есть схема реперов и описание.</t>
  </si>
  <si>
    <t>2а*</t>
  </si>
  <si>
    <t>То же. ПРФ 57: 65,26 и 65,33 м; ПРФ 58: 67,97 и 67,93 м; ПРФ 59: измерений нет; нет и описаний по Рп 133.</t>
  </si>
  <si>
    <t>48,70: очевидная ошибка в измерении, допущенная студентами; принято 46,70 по измерениям 22.11.2008.</t>
  </si>
  <si>
    <t>Рп "Белимова"*</t>
  </si>
  <si>
    <t>136А*</t>
  </si>
  <si>
    <t>140А*</t>
  </si>
  <si>
    <t>140С*</t>
  </si>
  <si>
    <t>шт. 4*</t>
  </si>
  <si>
    <t>*Быть может, здесь как раз была попытка измерения в горизонте? Пытались тянуть ленту высоко над землей?</t>
  </si>
  <si>
    <t>"Контрольный"</t>
  </si>
  <si>
    <t>3а*</t>
  </si>
  <si>
    <t>*Здесь, очевидно, Рп 3а другой установки, то есть - не начальной.</t>
  </si>
  <si>
    <r>
      <t xml:space="preserve">* Из полевого журнала № 2 ВПУ-2003 (07) (Инв. № 03-07/10-2): Все приведенные длины линий помечены при измерении как </t>
    </r>
    <r>
      <rPr>
        <u/>
        <sz val="10"/>
        <rFont val="Arial"/>
        <family val="2"/>
        <charset val="204"/>
      </rPr>
      <t>наклонные</t>
    </r>
    <r>
      <rPr>
        <sz val="10"/>
        <rFont val="Arial"/>
      </rPr>
      <t xml:space="preserve">. ** В этом журнале описан Рп 1 а, от которого выполнялся домер до бровки; В листе "Выборки по домерам до бровок на УПБ" есть примечание по Рп 1а: "Стальной круглый штырь </t>
    </r>
    <r>
      <rPr>
        <sz val="10"/>
        <rFont val="Calibri"/>
        <family val="2"/>
        <charset val="204"/>
      </rPr>
      <t>ø</t>
    </r>
    <r>
      <rPr>
        <sz val="10"/>
        <rFont val="Arial"/>
        <family val="2"/>
        <charset val="204"/>
      </rPr>
      <t xml:space="preserve"> 25 мм, сплющен сбоку (в сторону вдхр), h=2 см". ***В том же листе им.указание: "Измерено (расст.): Рп 3 - Рп 3а (нов.) = 54,14 м.</t>
    </r>
  </si>
  <si>
    <t>3а (нов.)***</t>
  </si>
  <si>
    <t>ПРИМЕЧАНИЯ</t>
  </si>
  <si>
    <t>21 (нов.)</t>
  </si>
  <si>
    <t>Наблюдения ОГ ВЦГМС по трём УПБ (предоставлены вместе с данными к ВПУ-2010).</t>
  </si>
  <si>
    <t>*</t>
  </si>
  <si>
    <t>Наблюдения ОГ ВЦГМС по трём УПБ (предоставлены вместе с данными к ВПУ-2010). * По створу № 2 измерено расстояние от Рп 2а до бровки, равное 7,15 м, не соответствующее предшествующим данным и поэтому в Сведения не включено.</t>
  </si>
  <si>
    <t>Измерения ОГ ВЦГМС. По створу № 1 предполагается ошибка: не 1а (верх.), а 1а (нижн.).</t>
  </si>
  <si>
    <t>ПРОФИЛЬ МЕЖДУ ОВРАГОМ И БРОВКОЙ ВДХР</t>
  </si>
  <si>
    <t>АР5</t>
  </si>
  <si>
    <t>АР3</t>
  </si>
  <si>
    <t>На створе № 1 домер не выполнялся из-за отсутствия четкой бровки; процесс нейтрализовался, берег нейтрален.</t>
  </si>
  <si>
    <t>126В(1007)</t>
  </si>
  <si>
    <t>128В(1007)</t>
  </si>
  <si>
    <t>Очевидно, по створу № 57 при домере до бровки (45,27 м) пропущена 1 лента; в таблицу внесено исправленное значение домера. Еще больше ошибка на створе № 58 (домер: 35,20 м). В таблицу внесен наиболее правдоподобный результат: 65,20 м.</t>
  </si>
  <si>
    <t>Измерения 2-мя ходами: створ № 57 = 65,25 и 65,17 м; створ № 58 = 65,00 и 64,93 м.</t>
  </si>
  <si>
    <t>136В(1007)</t>
  </si>
  <si>
    <t xml:space="preserve">Бровка на ппс 1 законсервирована, заросла травой. Однако, факт домера 48 метров сомнений практически не вызывает (тем более, см. примечание к домеру 15.07.2009). Т.о.: требуется анализ и корректировка данных по крайней мере с 2000 года. </t>
  </si>
  <si>
    <t xml:space="preserve">На ппс 1 впереди Рп 10 (ближе к вдхр) установлен новый Рп 11 (в 25,36 м от Рп 10: стальная труба с цилиндрическим расширением в верхней части). </t>
  </si>
  <si>
    <t>136В(1109)</t>
  </si>
  <si>
    <t>126D(1007)</t>
  </si>
  <si>
    <t>16,31*</t>
  </si>
  <si>
    <t>*Положение бровки по ППС № 5 определено аналитически (по пропорции от ППС № 4).</t>
  </si>
  <si>
    <t>Расст.от 3 до 33 вычислено по новым координатам в системе КЗС (с учетом данных экспедиции с Гидрометом в сент., 2011).</t>
  </si>
  <si>
    <r>
      <t xml:space="preserve"> </t>
    </r>
    <r>
      <rPr>
        <i/>
        <sz val="10"/>
        <rFont val="Arial"/>
        <family val="2"/>
        <charset val="204"/>
      </rPr>
      <t>Дата домеров принята условно; наблюдения выполнены ОГ ВЦГМС (Надточий, Озерина), информация передана через Озерину и Филиппову; дату необходимо уточнить!</t>
    </r>
  </si>
  <si>
    <r>
      <t xml:space="preserve"> </t>
    </r>
    <r>
      <rPr>
        <i/>
        <sz val="10"/>
        <rFont val="Arial"/>
        <family val="2"/>
        <charset val="204"/>
      </rPr>
      <t>Дата домеров принята условно; наблюдения выполнены ОГ ВЦГМС (Надточий, Озерина), информация передана через Озерину и Филиппову; дату необходимо уточнить! На ппс № 52: измерение может быть неточным: второго створного репера нет. На ппс № 53 реперы не найдены; на ппс № 54 найден только репер 128В, домер не выполнялся.</t>
    </r>
  </si>
  <si>
    <t xml:space="preserve">На ппс № 3 репер 3 не найден, домер не производился. </t>
  </si>
  <si>
    <r>
      <t xml:space="preserve"> </t>
    </r>
    <r>
      <rPr>
        <i/>
        <sz val="10"/>
        <rFont val="Arial"/>
        <family val="2"/>
        <charset val="204"/>
      </rPr>
      <t xml:space="preserve">Дата домеров принята условно; наблюдения выполнены ОГ ВЦГМС (Надточий, Озерина), информация передана через Озерину и Филиппову; дату необходимо уточнить! Реперы ппс № 49 не найдены, домер не выполнен. </t>
    </r>
  </si>
  <si>
    <t>В результате домера по ппс № 1 очевидная ошибка!</t>
  </si>
  <si>
    <r>
      <t xml:space="preserve"> </t>
    </r>
    <r>
      <rPr>
        <i/>
        <sz val="10"/>
        <rFont val="Arial"/>
        <family val="2"/>
        <charset val="204"/>
      </rPr>
      <t xml:space="preserve">На ППС № 1: внесено уточненное расстояние между Рп 11 и Рп 10 (двойное измерение: 25,32 и 25,34 м). </t>
    </r>
  </si>
  <si>
    <r>
      <t xml:space="preserve"> </t>
    </r>
    <r>
      <rPr>
        <i/>
        <sz val="10"/>
        <rFont val="Arial"/>
        <family val="2"/>
        <charset val="204"/>
      </rPr>
      <t xml:space="preserve">На ППС № 57: наиболее вероятна ошибка в измерении 15.10.12, поскольку Рп 571 не было, а 10.07.13 домер выполнялся после восстановления Рп 571. </t>
    </r>
  </si>
  <si>
    <t>126 D дер.кол</t>
  </si>
  <si>
    <t>33(?)</t>
  </si>
  <si>
    <r>
      <t xml:space="preserve"> </t>
    </r>
    <r>
      <rPr>
        <i/>
        <sz val="10"/>
        <rFont val="Arial"/>
        <family val="2"/>
        <charset val="204"/>
      </rPr>
      <t>Прим.: 1) На ППС № 5 все реперы разрушены отступлением берега. 2) На ППС "АР3 - АР5" репер АР5 не найден; АР3 - на месте.</t>
    </r>
  </si>
  <si>
    <t xml:space="preserve"> На ППС 1 вновь измерено прямым и обратным ходами расстояние между Рп 10 и Рп 11: прямой ход - 25,35; обратный - 25,38; среднее расстояние - 25,365 м. Принято: 25,36 м. </t>
  </si>
  <si>
    <t xml:space="preserve"> На ППС 1 по-прежнему береговой уступ неявен, берег нейтральный - абразионная бровка в рельефе не выражена; измерение до бровки по профилю очень приближенно. </t>
  </si>
  <si>
    <t>На ППС № 57 репер 571 не найден,  веха установлена  с учетом GPS-координат и по описаниям местоположения; на ППС № 58 репер 581 не найден,  веха у лежащего на земле деревянного кола с учетом GPS-координат.</t>
  </si>
  <si>
    <t>32(1407)</t>
  </si>
  <si>
    <t xml:space="preserve">На ППС № 3 измерение произведено от репера с условным названием 32 (1407) до бровки, расстояние между реперами 32(1407) и 3 посчитано с учетом расчетного расстояния между реперами 32(1407) и 33(1407). </t>
  </si>
  <si>
    <t>11(1407)</t>
  </si>
  <si>
    <t>126Е(1107)</t>
  </si>
  <si>
    <t>6(1507)</t>
  </si>
  <si>
    <t xml:space="preserve"> Измерение по перпендикуляру к бровке от РП 6(1507)</t>
  </si>
  <si>
    <t>На профиле 52 утрачены все репера, измерение по перпендикуляру от разрушенного фундамента дома Ткаченко Анастасии Ефимовны</t>
  </si>
  <si>
    <t>Измерение проведено лентой рулетки</t>
  </si>
  <si>
    <t>На ППС № 3 возможно домер сделан с ошибкой.</t>
  </si>
  <si>
    <t>На ППС № 59 Рп 591 не найден.</t>
  </si>
  <si>
    <t>*Положение бровки на ППС 1 по-прежнему не изменно, поэтому домеры на ППС 1 не производились.</t>
  </si>
  <si>
    <t>На ППС № 1 домеры до бровки не производились.</t>
  </si>
  <si>
    <t>На ППС № 59 заложен РП 592.</t>
  </si>
  <si>
    <t>На ППС № 1 возможно домеры до бровки произведены от Рп 1а (верхний).</t>
  </si>
  <si>
    <t xml:space="preserve">* На ППС 3 найден только РП 31. Измерение от РП 31 по перпендикуляру к бровке дало ошибочный результат. Поэтому расстояние здесь не приведено.  </t>
  </si>
  <si>
    <t>Домеры на ППС 6 не проводились, т.к. на створе только Рп 6(1507)</t>
  </si>
  <si>
    <t>На ППС № 58 Рп 581(1507) не найден; веха устанослена с учетом GPS-координат и по описаниям местоположения</t>
  </si>
  <si>
    <t>На ППС № 1 и ППС № 2 домеры не производились, т.к. найдены только Рп 1 и 2а.</t>
  </si>
  <si>
    <t>Дата измерения</t>
  </si>
  <si>
    <t>ПРИНЯТЫЕ СОКРАЩЕНИЯ</t>
  </si>
  <si>
    <t>ГП</t>
  </si>
  <si>
    <t xml:space="preserve"> - геодезический пункт на ППС, от которого  выполнено измерение до бровки;</t>
  </si>
  <si>
    <t>ПН</t>
  </si>
  <si>
    <t xml:space="preserve"> - постоянное начало ППС, для которого приводятся обобщающие за период наблюдений расстояния до бровки;</t>
  </si>
  <si>
    <t>ППС</t>
  </si>
  <si>
    <t xml:space="preserve"> - поперечный створ многолетних наблюдений;</t>
  </si>
  <si>
    <t>ИГП</t>
  </si>
  <si>
    <t xml:space="preserve"> - измеренное по ППС расстояние от ГП до бровки;</t>
  </si>
  <si>
    <t xml:space="preserve"> - приведенное к ПН расстояние до бровки по ППС;</t>
  </si>
  <si>
    <t>ИГП, м</t>
  </si>
  <si>
    <t>ПН ППС</t>
  </si>
  <si>
    <t>ИПН, м</t>
  </si>
  <si>
    <t>РГП-ПН</t>
  </si>
  <si>
    <t>ПРПН</t>
  </si>
  <si>
    <t xml:space="preserve"> - принятое для расчета ПРПН расстояние от ГП до ПН (+, если ПН дальше от бровки; "-", если ПН ближе к бровке);</t>
  </si>
  <si>
    <t>РГП-ПН, м</t>
  </si>
  <si>
    <t>ОБ за пери-од, м</t>
  </si>
  <si>
    <t>СТАТИСТИКА ОТСТУПЛЕНИЯ БРОВОК</t>
  </si>
  <si>
    <t>БЕРЕЖНОВКА, ППС 60</t>
  </si>
  <si>
    <t>Положе-ние бров-ки относи-тельно ПН, м</t>
  </si>
  <si>
    <t>Отступле-ние бров-ки за пе-риод, м</t>
  </si>
  <si>
    <t>Продол-житель-ность пе-риода, сут.</t>
  </si>
  <si>
    <t>ОБЩЕЕ:</t>
  </si>
  <si>
    <t>Продол-житель-ность пе-риода, число лет</t>
  </si>
  <si>
    <t>Темпы от-ступле-ния бров-ки, м/год</t>
  </si>
  <si>
    <t>СРЕДНЕЕ:</t>
  </si>
  <si>
    <t>МАКСИМАЛЬНОЕ:</t>
  </si>
  <si>
    <t>МИНИМАЛЬНОЕ:</t>
  </si>
  <si>
    <t>БЕРЕЖНОВКА, ППС 61</t>
  </si>
  <si>
    <t>Наименование пункта</t>
  </si>
  <si>
    <t>Дата закладки пункта</t>
  </si>
  <si>
    <t>Х КЗС, м</t>
  </si>
  <si>
    <t>Y КЗС, м</t>
  </si>
  <si>
    <t>136B</t>
  </si>
  <si>
    <t>138A</t>
  </si>
  <si>
    <t>138B</t>
  </si>
  <si>
    <t>140C</t>
  </si>
  <si>
    <t>136C</t>
  </si>
  <si>
    <t>136A</t>
  </si>
  <si>
    <t>140A</t>
  </si>
  <si>
    <t>140B</t>
  </si>
  <si>
    <t>140E</t>
  </si>
  <si>
    <t>Оползневиков</t>
  </si>
  <si>
    <t>5С2</t>
  </si>
  <si>
    <t>5С</t>
  </si>
  <si>
    <t>КООРДИНАТЫ пп ППС 62 из "НОВОЙ СИСТЕМЫ КООРДИНАТ" (см. папку "АНАЛИТИКА")</t>
  </si>
  <si>
    <t>(для восстановления домеров до бровки старых лет)</t>
  </si>
  <si>
    <t>РАСЧЕТНЫЕ РАССТОЯНИЯ, м:</t>
  </si>
  <si>
    <t>140D - 139</t>
  </si>
  <si>
    <t>140D - 140</t>
  </si>
  <si>
    <t>140D - 5C</t>
  </si>
  <si>
    <t>140D - 5C2</t>
  </si>
  <si>
    <t>140D - 140А</t>
  </si>
  <si>
    <r>
      <t>140D - 140А</t>
    </r>
    <r>
      <rPr>
        <sz val="10"/>
        <rFont val="Calibri"/>
        <family val="2"/>
        <charset val="204"/>
      </rPr>
      <t>′</t>
    </r>
  </si>
  <si>
    <t>X</t>
  </si>
  <si>
    <t>Y</t>
  </si>
  <si>
    <t>Передний пункт</t>
  </si>
  <si>
    <t>Расст., м</t>
  </si>
  <si>
    <r>
      <t>140D - 140C</t>
    </r>
    <r>
      <rPr>
        <sz val="10"/>
        <rFont val="Calibri"/>
        <family val="2"/>
        <charset val="204"/>
      </rPr>
      <t>′</t>
    </r>
  </si>
  <si>
    <t>БЕРЕЖНОВКА, ППС 62</t>
  </si>
  <si>
    <r>
      <t>Не учитывать! Координаты п. 140А</t>
    </r>
    <r>
      <rPr>
        <i/>
        <sz val="10"/>
        <color indexed="10"/>
        <rFont val="Calibri"/>
        <family val="2"/>
        <charset val="204"/>
      </rPr>
      <t>*</t>
    </r>
    <r>
      <rPr>
        <i/>
        <sz val="10"/>
        <color indexed="10"/>
        <rFont val="Arial"/>
        <family val="2"/>
        <charset val="204"/>
      </rPr>
      <t xml:space="preserve"> неизвестны (но это не 140А!).</t>
    </r>
  </si>
  <si>
    <t>Курсивом по ППС 1: весь период наблюдений с 1987 по 2015 гг.: ВЫПОЛНЕНА КОРРЕКТИРОВКА ДАННЫХ ДОМЕРОВ ДО БРОВКИ. Суть корректировки:</t>
  </si>
  <si>
    <t xml:space="preserve">1) Репер 1а, заложенный при создании УПБ в 1987 г. не был найден во время наблюдений в 1995 (июль); и тогда был установлен новый: 1а(9507). Однако позже, во время экспедиции </t>
  </si>
  <si>
    <t>ВПУ-2000 (июль), первоначально заложенный в 1987 г. репер 1а был вновь обнаружен. И т.о. на ППС 1 возникло де-факто 2 репера 1а. Возникла путанница: какой из реперов</t>
  </si>
  <si>
    <t>реперов заложен в 1987, а какой в 1995, и каково расстояние между ними и Рп 1.</t>
  </si>
  <si>
    <t>2) Первоначальное расстояние Рп 1 - Рп 1а (1987 г.) было измерено грубо, без учета угла наклона. А в 1995 г. была выполнена полигонометрия базиса УПБ</t>
  </si>
  <si>
    <t>и расстояние Рп 1 - Рп 1а(9507) измерено точно, с учетом угла наклона и уравнено в полигоне (53,07 м). Однако сам Рп 1а(9507) не был описан и описание в паспорте</t>
  </si>
  <si>
    <t>отсутствовало. А позже (в 2000) на ППС был дополнительно заложен выше по склону Рп 10.</t>
  </si>
  <si>
    <t>3) После 2000 г. эти 2 репера 1а во избежании путанницы были названы "1а (верхний)" и "1а (нижний)". Лишь 22.01.2020 на основании анализа всех имеющихся данных</t>
  </si>
  <si>
    <t>(включая данные серии 09.10.2019) Филипповым и Барановой эти реперы идентифицированы и увязаны с остальными пунктами на ППС, а домеры в настоящей</t>
  </si>
  <si>
    <t>1а (0007)=1а(ниж)</t>
  </si>
  <si>
    <t>таблице откорректированы. Установлено расположение пп на ППС: Рп 1 - Рп 1а (верхний) (он же: Рп 1а(9507) = 57,03; 1а (верхний) - 1а (нижний) (он же: 1а (установки 1987 г.) = 0,93; попутно: Рп 1а (верхний; он же Рп 1а(9507)) - Рп 10 = 9,74 м.</t>
  </si>
  <si>
    <t>1а=1а(ниж.)</t>
  </si>
  <si>
    <t>1а (верх.)*</t>
  </si>
  <si>
    <t>На ППС 3 домеры не производились, т.к. домеры на 3-м створе были произведены 14.08.2019 г.</t>
  </si>
  <si>
    <t>* - Рп 118 не найден, домеры не производились на профиле 49</t>
  </si>
  <si>
    <t xml:space="preserve">   В документе, переданном из ОГ ВЦГМС: 6,45 м. Очевидно, в домере пропущена лента (20 м).</t>
  </si>
  <si>
    <t>Плякин, Виняр</t>
  </si>
  <si>
    <t>* - Домеры по 4 профилю не производились, так как не найден штырь 4;  измерение по перпендикуляру к бровке от РП 6(1507).</t>
  </si>
  <si>
    <t>* - В связи с тем, что все РП на створе были утрачены, измерение не проводилось.</t>
  </si>
  <si>
    <t>126F(1107)</t>
  </si>
  <si>
    <t>128C</t>
  </si>
  <si>
    <t>138B(0907)</t>
  </si>
  <si>
    <t>! На ППС № 60 возможно домер сделан с ошибкой.</t>
  </si>
  <si>
    <t>* - домер не выполнен из-за недостатка времени.</t>
  </si>
  <si>
    <t>Домеры выполнены экспедицией Гидромета, на ППС 3 домеры не производились.</t>
  </si>
  <si>
    <t>Домеры выполнены экспедицией Гидромета, на ППС 3 нижние репера не найдены, поэтому домеры не производились.</t>
  </si>
  <si>
    <t>138C</t>
  </si>
  <si>
    <t>140F</t>
  </si>
  <si>
    <t>126B - 126E</t>
  </si>
  <si>
    <t>Измерение лентой рулетки. На профиле 3 по перпендикуляру. На профилях 4 и 5 репера не найдены. На профиле 3 расчет приблизительный, т.к. расстояние между реперами вычислялось по GPS-координатам, что может дать ошибку в 3-4 метра.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</si>
</sst>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0" formatCode="dd/mm/yy"/>
    <numFmt numFmtId="184" formatCode="dd/mm/yy;@"/>
  </numFmts>
  <fonts count="28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u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Calibri"/>
      <family val="2"/>
      <charset val="204"/>
    </font>
    <font>
      <b/>
      <i/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</font>
    <font>
      <sz val="10"/>
      <color indexed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</font>
    <font>
      <sz val="8"/>
      <name val="Arial"/>
      <family val="2"/>
      <charset val="204"/>
    </font>
    <font>
      <sz val="10"/>
      <color indexed="10"/>
      <name val="Arial"/>
      <family val="2"/>
      <charset val="204"/>
    </font>
    <font>
      <i/>
      <sz val="10"/>
      <color indexed="10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4"/>
      <name val="Arial"/>
      <family val="2"/>
      <charset val="204"/>
    </font>
    <font>
      <b/>
      <sz val="10"/>
      <color indexed="10"/>
      <name val="Arial"/>
      <family val="2"/>
      <charset val="204"/>
    </font>
    <font>
      <i/>
      <sz val="10"/>
      <color indexed="10"/>
      <name val="Arial"/>
      <family val="2"/>
      <charset val="204"/>
    </font>
    <font>
      <i/>
      <sz val="10"/>
      <color indexed="10"/>
      <name val="Calibri"/>
      <family val="2"/>
      <charset val="204"/>
    </font>
    <font>
      <b/>
      <sz val="10"/>
      <color indexed="10"/>
      <name val="Arial"/>
      <family val="2"/>
      <charset val="204"/>
    </font>
    <font>
      <b/>
      <sz val="10"/>
      <color indexed="10"/>
      <name val="Arial"/>
      <family val="2"/>
    </font>
    <font>
      <i/>
      <sz val="10"/>
      <color indexed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0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14" fontId="0" fillId="2" borderId="1" xfId="0" applyNumberFormat="1" applyFill="1" applyBorder="1"/>
    <xf numFmtId="180" fontId="0" fillId="3" borderId="1" xfId="0" applyNumberFormat="1" applyFill="1" applyBorder="1"/>
    <xf numFmtId="180" fontId="0" fillId="4" borderId="1" xfId="0" applyNumberFormat="1" applyFill="1" applyBorder="1"/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1" fillId="5" borderId="1" xfId="0" applyFont="1" applyFill="1" applyBorder="1"/>
    <xf numFmtId="0" fontId="0" fillId="5" borderId="1" xfId="0" applyFill="1" applyBorder="1"/>
    <xf numFmtId="180" fontId="0" fillId="5" borderId="1" xfId="0" applyNumberFormat="1" applyFill="1" applyBorder="1"/>
    <xf numFmtId="2" fontId="1" fillId="2" borderId="1" xfId="0" applyNumberFormat="1" applyFont="1" applyFill="1" applyBorder="1"/>
    <xf numFmtId="2" fontId="1" fillId="3" borderId="1" xfId="0" applyNumberFormat="1" applyFont="1" applyFill="1" applyBorder="1"/>
    <xf numFmtId="2" fontId="1" fillId="4" borderId="1" xfId="0" applyNumberFormat="1" applyFont="1" applyFill="1" applyBorder="1"/>
    <xf numFmtId="2" fontId="1" fillId="5" borderId="1" xfId="0" applyNumberFormat="1" applyFont="1" applyFill="1" applyBorder="1"/>
    <xf numFmtId="2" fontId="0" fillId="2" borderId="1" xfId="0" applyNumberFormat="1" applyFill="1" applyBorder="1"/>
    <xf numFmtId="184" fontId="0" fillId="2" borderId="1" xfId="0" applyNumberFormat="1" applyFill="1" applyBorder="1"/>
    <xf numFmtId="2" fontId="0" fillId="3" borderId="1" xfId="0" applyNumberFormat="1" applyFill="1" applyBorder="1"/>
    <xf numFmtId="2" fontId="0" fillId="4" borderId="1" xfId="0" applyNumberFormat="1" applyFill="1" applyBorder="1"/>
    <xf numFmtId="0" fontId="5" fillId="0" borderId="0" xfId="0" applyFont="1"/>
    <xf numFmtId="0" fontId="5" fillId="3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0" borderId="0" xfId="0" applyFont="1"/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4" borderId="1" xfId="0" applyFont="1" applyFill="1" applyBorder="1"/>
    <xf numFmtId="2" fontId="2" fillId="4" borderId="1" xfId="0" applyNumberFormat="1" applyFont="1" applyFill="1" applyBorder="1"/>
    <xf numFmtId="0" fontId="7" fillId="0" borderId="0" xfId="0" applyFont="1"/>
    <xf numFmtId="2" fontId="0" fillId="5" borderId="1" xfId="0" applyNumberFormat="1" applyFill="1" applyBorder="1"/>
    <xf numFmtId="0" fontId="2" fillId="5" borderId="1" xfId="0" applyFont="1" applyFill="1" applyBorder="1"/>
    <xf numFmtId="2" fontId="2" fillId="5" borderId="1" xfId="0" applyNumberFormat="1" applyFont="1" applyFill="1" applyBorder="1"/>
    <xf numFmtId="0" fontId="1" fillId="6" borderId="1" xfId="0" applyFont="1" applyFill="1" applyBorder="1"/>
    <xf numFmtId="0" fontId="0" fillId="6" borderId="1" xfId="0" applyFill="1" applyBorder="1"/>
    <xf numFmtId="180" fontId="0" fillId="6" borderId="1" xfId="0" applyNumberFormat="1" applyFill="1" applyBorder="1"/>
    <xf numFmtId="2" fontId="0" fillId="6" borderId="1" xfId="0" applyNumberFormat="1" applyFill="1" applyBorder="1"/>
    <xf numFmtId="2" fontId="1" fillId="6" borderId="1" xfId="0" applyNumberFormat="1" applyFont="1" applyFill="1" applyBorder="1"/>
    <xf numFmtId="2" fontId="2" fillId="6" borderId="1" xfId="0" applyNumberFormat="1" applyFont="1" applyFill="1" applyBorder="1"/>
    <xf numFmtId="14" fontId="0" fillId="3" borderId="1" xfId="0" applyNumberFormat="1" applyFill="1" applyBorder="1"/>
    <xf numFmtId="14" fontId="0" fillId="4" borderId="1" xfId="0" applyNumberFormat="1" applyFill="1" applyBorder="1"/>
    <xf numFmtId="14" fontId="0" fillId="5" borderId="1" xfId="0" applyNumberFormat="1" applyFill="1" applyBorder="1"/>
    <xf numFmtId="14" fontId="0" fillId="6" borderId="1" xfId="0" applyNumberFormat="1" applyFill="1" applyBorder="1"/>
    <xf numFmtId="0" fontId="3" fillId="6" borderId="1" xfId="0" applyFont="1" applyFill="1" applyBorder="1"/>
    <xf numFmtId="2" fontId="2" fillId="3" borderId="1" xfId="0" applyNumberFormat="1" applyFont="1" applyFill="1" applyBorder="1"/>
    <xf numFmtId="2" fontId="0" fillId="0" borderId="0" xfId="0" applyNumberFormat="1"/>
    <xf numFmtId="2" fontId="8" fillId="3" borderId="1" xfId="0" applyNumberFormat="1" applyFont="1" applyFill="1" applyBorder="1"/>
    <xf numFmtId="2" fontId="7" fillId="3" borderId="1" xfId="0" applyNumberFormat="1" applyFont="1" applyFill="1" applyBorder="1" applyAlignment="1">
      <alignment horizontal="right"/>
    </xf>
    <xf numFmtId="0" fontId="8" fillId="0" borderId="0" xfId="0" applyFont="1"/>
    <xf numFmtId="2" fontId="9" fillId="2" borderId="1" xfId="0" applyNumberFormat="1" applyFont="1" applyFill="1" applyBorder="1"/>
    <xf numFmtId="2" fontId="10" fillId="2" borderId="1" xfId="0" applyNumberFormat="1" applyFont="1" applyFill="1" applyBorder="1"/>
    <xf numFmtId="0" fontId="9" fillId="2" borderId="1" xfId="0" applyFont="1" applyFill="1" applyBorder="1"/>
    <xf numFmtId="2" fontId="11" fillId="2" borderId="1" xfId="0" applyNumberFormat="1" applyFont="1" applyFill="1" applyBorder="1"/>
    <xf numFmtId="2" fontId="12" fillId="2" borderId="1" xfId="0" applyNumberFormat="1" applyFont="1" applyFill="1" applyBorder="1"/>
    <xf numFmtId="0" fontId="10" fillId="2" borderId="1" xfId="0" applyFont="1" applyFill="1" applyBorder="1"/>
    <xf numFmtId="0" fontId="15" fillId="0" borderId="0" xfId="0" applyFont="1"/>
    <xf numFmtId="0" fontId="14" fillId="0" borderId="0" xfId="0" applyFont="1"/>
    <xf numFmtId="180" fontId="3" fillId="3" borderId="1" xfId="0" applyNumberFormat="1" applyFont="1" applyFill="1" applyBorder="1"/>
    <xf numFmtId="0" fontId="3" fillId="3" borderId="1" xfId="0" applyFont="1" applyFill="1" applyBorder="1"/>
    <xf numFmtId="180" fontId="3" fillId="4" borderId="1" xfId="0" applyNumberFormat="1" applyFont="1" applyFill="1" applyBorder="1"/>
    <xf numFmtId="0" fontId="3" fillId="4" borderId="1" xfId="0" applyFont="1" applyFill="1" applyBorder="1"/>
    <xf numFmtId="14" fontId="3" fillId="2" borderId="1" xfId="0" applyNumberFormat="1" applyFont="1" applyFill="1" applyBorder="1"/>
    <xf numFmtId="0" fontId="3" fillId="2" borderId="1" xfId="0" applyFont="1" applyFill="1" applyBorder="1"/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180" fontId="3" fillId="5" borderId="1" xfId="0" applyNumberFormat="1" applyFont="1" applyFill="1" applyBorder="1"/>
    <xf numFmtId="0" fontId="3" fillId="5" borderId="1" xfId="0" applyFont="1" applyFill="1" applyBorder="1"/>
    <xf numFmtId="0" fontId="2" fillId="2" borderId="1" xfId="0" applyFont="1" applyFill="1" applyBorder="1"/>
    <xf numFmtId="2" fontId="22" fillId="3" borderId="1" xfId="0" applyNumberFormat="1" applyFont="1" applyFill="1" applyBorder="1"/>
    <xf numFmtId="0" fontId="23" fillId="2" borderId="1" xfId="0" applyFont="1" applyFill="1" applyBorder="1"/>
    <xf numFmtId="2" fontId="23" fillId="4" borderId="1" xfId="0" applyNumberFormat="1" applyFont="1" applyFill="1" applyBorder="1"/>
    <xf numFmtId="0" fontId="16" fillId="2" borderId="2" xfId="0" applyFont="1" applyFill="1" applyBorder="1" applyAlignment="1">
      <alignment horizontal="justify" vertical="top"/>
    </xf>
    <xf numFmtId="0" fontId="16" fillId="3" borderId="2" xfId="0" applyFont="1" applyFill="1" applyBorder="1" applyAlignment="1">
      <alignment horizontal="justify" vertical="top"/>
    </xf>
    <xf numFmtId="0" fontId="16" fillId="4" borderId="2" xfId="0" applyFont="1" applyFill="1" applyBorder="1" applyAlignment="1">
      <alignment horizontal="justify" vertical="top"/>
    </xf>
    <xf numFmtId="0" fontId="16" fillId="0" borderId="0" xfId="0" applyFont="1" applyAlignment="1">
      <alignment horizontal="justify" vertical="top"/>
    </xf>
    <xf numFmtId="0" fontId="2" fillId="0" borderId="0" xfId="0" applyFont="1"/>
    <xf numFmtId="0" fontId="17" fillId="0" borderId="0" xfId="0" applyFont="1"/>
    <xf numFmtId="0" fontId="18" fillId="0" borderId="0" xfId="0" applyFont="1"/>
    <xf numFmtId="14" fontId="0" fillId="0" borderId="0" xfId="0" applyNumberFormat="1"/>
    <xf numFmtId="14" fontId="0" fillId="7" borderId="1" xfId="0" applyNumberFormat="1" applyFill="1" applyBorder="1"/>
    <xf numFmtId="2" fontId="0" fillId="7" borderId="1" xfId="0" applyNumberFormat="1" applyFill="1" applyBorder="1"/>
    <xf numFmtId="2" fontId="24" fillId="7" borderId="1" xfId="0" applyNumberFormat="1" applyFont="1" applyFill="1" applyBorder="1"/>
    <xf numFmtId="0" fontId="24" fillId="7" borderId="1" xfId="0" applyFont="1" applyFill="1" applyBorder="1"/>
    <xf numFmtId="2" fontId="0" fillId="8" borderId="1" xfId="0" applyNumberFormat="1" applyFill="1" applyBorder="1"/>
    <xf numFmtId="0" fontId="0" fillId="8" borderId="1" xfId="0" applyFill="1" applyBorder="1"/>
    <xf numFmtId="2" fontId="2" fillId="9" borderId="1" xfId="0" applyNumberFormat="1" applyFont="1" applyFill="1" applyBorder="1"/>
    <xf numFmtId="0" fontId="2" fillId="9" borderId="1" xfId="0" applyFont="1" applyFill="1" applyBorder="1"/>
    <xf numFmtId="2" fontId="7" fillId="9" borderId="1" xfId="0" applyNumberFormat="1" applyFont="1" applyFill="1" applyBorder="1"/>
    <xf numFmtId="49" fontId="0" fillId="0" borderId="0" xfId="0" applyNumberFormat="1"/>
    <xf numFmtId="0" fontId="24" fillId="4" borderId="1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2" fontId="22" fillId="0" borderId="0" xfId="0" applyNumberFormat="1" applyFont="1"/>
    <xf numFmtId="2" fontId="24" fillId="4" borderId="1" xfId="0" applyNumberFormat="1" applyFont="1" applyFill="1" applyBorder="1"/>
    <xf numFmtId="0" fontId="24" fillId="4" borderId="1" xfId="0" applyFont="1" applyFill="1" applyBorder="1"/>
    <xf numFmtId="0" fontId="0" fillId="7" borderId="1" xfId="0" applyFill="1" applyBorder="1"/>
    <xf numFmtId="0" fontId="1" fillId="2" borderId="1" xfId="1" applyFont="1" applyFill="1" applyBorder="1"/>
    <xf numFmtId="0" fontId="3" fillId="2" borderId="1" xfId="1" applyFill="1" applyBorder="1" applyAlignment="1">
      <alignment horizontal="right"/>
    </xf>
    <xf numFmtId="0" fontId="3" fillId="2" borderId="1" xfId="1" applyFill="1" applyBorder="1"/>
    <xf numFmtId="0" fontId="1" fillId="3" borderId="1" xfId="1" applyFont="1" applyFill="1" applyBorder="1"/>
    <xf numFmtId="0" fontId="3" fillId="3" borderId="1" xfId="1" applyFill="1" applyBorder="1" applyAlignment="1">
      <alignment horizontal="right"/>
    </xf>
    <xf numFmtId="0" fontId="3" fillId="3" borderId="1" xfId="1" applyFill="1" applyBorder="1"/>
    <xf numFmtId="0" fontId="1" fillId="4" borderId="1" xfId="1" applyFont="1" applyFill="1" applyBorder="1"/>
    <xf numFmtId="0" fontId="3" fillId="4" borderId="1" xfId="1" applyFill="1" applyBorder="1" applyAlignment="1">
      <alignment horizontal="right"/>
    </xf>
    <xf numFmtId="0" fontId="3" fillId="4" borderId="1" xfId="1" applyFill="1" applyBorder="1"/>
    <xf numFmtId="0" fontId="3" fillId="0" borderId="0" xfId="1" applyFont="1"/>
    <xf numFmtId="0" fontId="3" fillId="0" borderId="0" xfId="1"/>
    <xf numFmtId="0" fontId="8" fillId="6" borderId="3" xfId="1" applyFont="1" applyFill="1" applyBorder="1"/>
    <xf numFmtId="0" fontId="3" fillId="6" borderId="4" xfId="1" applyFill="1" applyBorder="1"/>
    <xf numFmtId="0" fontId="3" fillId="6" borderId="5" xfId="1" applyFill="1" applyBorder="1"/>
    <xf numFmtId="0" fontId="8" fillId="6" borderId="6" xfId="1" applyFont="1" applyFill="1" applyBorder="1"/>
    <xf numFmtId="0" fontId="3" fillId="6" borderId="0" xfId="1" applyFill="1" applyBorder="1"/>
    <xf numFmtId="0" fontId="3" fillId="6" borderId="7" xfId="1" applyFill="1" applyBorder="1"/>
    <xf numFmtId="14" fontId="8" fillId="2" borderId="1" xfId="1" applyNumberFormat="1" applyFont="1" applyFill="1" applyBorder="1"/>
    <xf numFmtId="0" fontId="8" fillId="2" borderId="1" xfId="1" applyFont="1" applyFill="1" applyBorder="1" applyAlignment="1">
      <alignment horizontal="right"/>
    </xf>
    <xf numFmtId="2" fontId="8" fillId="2" borderId="1" xfId="1" applyNumberFormat="1" applyFont="1" applyFill="1" applyBorder="1"/>
    <xf numFmtId="0" fontId="8" fillId="2" borderId="1" xfId="1" applyFont="1" applyFill="1" applyBorder="1"/>
    <xf numFmtId="2" fontId="7" fillId="2" borderId="1" xfId="1" applyNumberFormat="1" applyFont="1" applyFill="1" applyBorder="1"/>
    <xf numFmtId="180" fontId="3" fillId="3" borderId="1" xfId="1" applyNumberFormat="1" applyFill="1" applyBorder="1"/>
    <xf numFmtId="2" fontId="1" fillId="3" borderId="1" xfId="1" applyNumberFormat="1" applyFont="1" applyFill="1" applyBorder="1"/>
    <xf numFmtId="180" fontId="3" fillId="4" borderId="1" xfId="1" applyNumberFormat="1" applyFill="1" applyBorder="1"/>
    <xf numFmtId="2" fontId="3" fillId="4" borderId="1" xfId="1" applyNumberFormat="1" applyFill="1" applyBorder="1"/>
    <xf numFmtId="2" fontId="1" fillId="4" borderId="1" xfId="1" applyNumberFormat="1" applyFont="1" applyFill="1" applyBorder="1"/>
    <xf numFmtId="0" fontId="7" fillId="2" borderId="1" xfId="1" applyFont="1" applyFill="1" applyBorder="1"/>
    <xf numFmtId="0" fontId="8" fillId="6" borderId="8" xfId="1" applyFont="1" applyFill="1" applyBorder="1"/>
    <xf numFmtId="0" fontId="3" fillId="6" borderId="9" xfId="1" applyFill="1" applyBorder="1"/>
    <xf numFmtId="0" fontId="3" fillId="6" borderId="10" xfId="1" applyFill="1" applyBorder="1"/>
    <xf numFmtId="0" fontId="3" fillId="3" borderId="1" xfId="1" applyFont="1" applyFill="1" applyBorder="1" applyAlignment="1">
      <alignment horizontal="right"/>
    </xf>
    <xf numFmtId="0" fontId="3" fillId="4" borderId="1" xfId="1" applyFont="1" applyFill="1" applyBorder="1" applyAlignment="1">
      <alignment horizontal="right"/>
    </xf>
    <xf numFmtId="2" fontId="3" fillId="4" borderId="1" xfId="1" applyNumberFormat="1" applyFill="1" applyBorder="1" applyAlignment="1">
      <alignment horizontal="right"/>
    </xf>
    <xf numFmtId="2" fontId="1" fillId="4" borderId="1" xfId="1" applyNumberFormat="1" applyFont="1" applyFill="1" applyBorder="1" applyAlignment="1">
      <alignment horizontal="right"/>
    </xf>
    <xf numFmtId="0" fontId="2" fillId="3" borderId="1" xfId="1" applyFont="1" applyFill="1" applyBorder="1"/>
    <xf numFmtId="0" fontId="7" fillId="0" borderId="0" xfId="1" applyFont="1"/>
    <xf numFmtId="0" fontId="2" fillId="4" borderId="1" xfId="1" applyFont="1" applyFill="1" applyBorder="1"/>
    <xf numFmtId="2" fontId="2" fillId="4" borderId="1" xfId="1" applyNumberFormat="1" applyFont="1" applyFill="1" applyBorder="1"/>
    <xf numFmtId="0" fontId="8" fillId="0" borderId="0" xfId="1" applyFont="1"/>
    <xf numFmtId="2" fontId="2" fillId="3" borderId="1" xfId="1" applyNumberFormat="1" applyFont="1" applyFill="1" applyBorder="1"/>
    <xf numFmtId="2" fontId="3" fillId="3" borderId="1" xfId="1" applyNumberFormat="1" applyFill="1" applyBorder="1"/>
    <xf numFmtId="180" fontId="3" fillId="4" borderId="1" xfId="1" applyNumberFormat="1" applyFont="1" applyFill="1" applyBorder="1"/>
    <xf numFmtId="0" fontId="3" fillId="4" borderId="1" xfId="1" applyFont="1" applyFill="1" applyBorder="1"/>
    <xf numFmtId="2" fontId="3" fillId="4" borderId="1" xfId="1" applyNumberFormat="1" applyFont="1" applyFill="1" applyBorder="1"/>
    <xf numFmtId="180" fontId="3" fillId="3" borderId="1" xfId="1" applyNumberFormat="1" applyFont="1" applyFill="1" applyBorder="1"/>
    <xf numFmtId="0" fontId="3" fillId="3" borderId="1" xfId="1" applyFont="1" applyFill="1" applyBorder="1"/>
    <xf numFmtId="0" fontId="15" fillId="0" borderId="0" xfId="1" applyFont="1"/>
    <xf numFmtId="2" fontId="22" fillId="3" borderId="1" xfId="1" applyNumberFormat="1" applyFont="1" applyFill="1" applyBorder="1"/>
    <xf numFmtId="0" fontId="22" fillId="4" borderId="1" xfId="1" applyFont="1" applyFill="1" applyBorder="1"/>
    <xf numFmtId="2" fontId="19" fillId="4" borderId="1" xfId="1" applyNumberFormat="1" applyFont="1" applyFill="1" applyBorder="1"/>
    <xf numFmtId="14" fontId="3" fillId="2" borderId="1" xfId="1" applyNumberFormat="1" applyFill="1" applyBorder="1"/>
    <xf numFmtId="0" fontId="3" fillId="2" borderId="1" xfId="1" applyFont="1" applyFill="1" applyBorder="1" applyAlignment="1">
      <alignment horizontal="right"/>
    </xf>
    <xf numFmtId="2" fontId="2" fillId="2" borderId="1" xfId="1" applyNumberFormat="1" applyFont="1" applyFill="1" applyBorder="1"/>
    <xf numFmtId="0" fontId="3" fillId="2" borderId="1" xfId="1" applyFont="1" applyFill="1" applyBorder="1"/>
    <xf numFmtId="2" fontId="22" fillId="2" borderId="1" xfId="1" applyNumberFormat="1" applyFont="1" applyFill="1" applyBorder="1"/>
    <xf numFmtId="2" fontId="22" fillId="4" borderId="1" xfId="1" applyNumberFormat="1" applyFont="1" applyFill="1" applyBorder="1"/>
    <xf numFmtId="0" fontId="8" fillId="2" borderId="1" xfId="0" applyFont="1" applyFill="1" applyBorder="1"/>
    <xf numFmtId="2" fontId="25" fillId="2" borderId="1" xfId="0" applyNumberFormat="1" applyFont="1" applyFill="1" applyBorder="1"/>
    <xf numFmtId="2" fontId="26" fillId="2" borderId="1" xfId="0" applyNumberFormat="1" applyFont="1" applyFill="1" applyBorder="1"/>
    <xf numFmtId="2" fontId="3" fillId="4" borderId="1" xfId="0" applyNumberFormat="1" applyFont="1" applyFill="1" applyBorder="1"/>
    <xf numFmtId="2" fontId="27" fillId="3" borderId="1" xfId="0" applyNumberFormat="1" applyFont="1" applyFill="1" applyBorder="1"/>
    <xf numFmtId="2" fontId="27" fillId="4" borderId="1" xfId="0" applyNumberFormat="1" applyFont="1" applyFill="1" applyBorder="1"/>
    <xf numFmtId="0" fontId="27" fillId="4" borderId="1" xfId="0" applyFont="1" applyFill="1" applyBorder="1"/>
    <xf numFmtId="0" fontId="27" fillId="3" borderId="1" xfId="1" applyFont="1" applyFill="1" applyBorder="1"/>
    <xf numFmtId="0" fontId="27" fillId="3" borderId="1" xfId="0" applyFont="1" applyFill="1" applyBorder="1"/>
    <xf numFmtId="0" fontId="26" fillId="2" borderId="1" xfId="1" applyFon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opLeftCell="A79" workbookViewId="0">
      <selection activeCell="F108" sqref="F108"/>
    </sheetView>
  </sheetViews>
  <sheetFormatPr defaultRowHeight="12.5" x14ac:dyDescent="0.25"/>
  <cols>
    <col min="1" max="1" width="11.1796875" customWidth="1"/>
    <col min="4" max="4" width="10.1796875" bestFit="1" customWidth="1"/>
  </cols>
  <sheetData>
    <row r="1" spans="1:6" ht="18" x14ac:dyDescent="0.4">
      <c r="A1" s="82" t="s">
        <v>159</v>
      </c>
    </row>
    <row r="3" spans="1:6" x14ac:dyDescent="0.25">
      <c r="A3" s="29" t="s">
        <v>160</v>
      </c>
      <c r="B3" s="29" t="s">
        <v>161</v>
      </c>
    </row>
    <row r="4" spans="1:6" x14ac:dyDescent="0.25">
      <c r="A4" s="29" t="s">
        <v>162</v>
      </c>
      <c r="B4" s="29" t="s">
        <v>163</v>
      </c>
    </row>
    <row r="5" spans="1:6" x14ac:dyDescent="0.25">
      <c r="A5" s="29" t="s">
        <v>164</v>
      </c>
      <c r="B5" s="29" t="s">
        <v>165</v>
      </c>
    </row>
    <row r="6" spans="1:6" x14ac:dyDescent="0.25">
      <c r="A6" s="29" t="s">
        <v>166</v>
      </c>
      <c r="B6" s="29" t="s">
        <v>167</v>
      </c>
    </row>
    <row r="7" spans="1:6" x14ac:dyDescent="0.25">
      <c r="A7" s="29" t="s">
        <v>173</v>
      </c>
      <c r="B7" s="29" t="s">
        <v>168</v>
      </c>
    </row>
    <row r="8" spans="1:6" x14ac:dyDescent="0.25">
      <c r="A8" s="29" t="s">
        <v>172</v>
      </c>
      <c r="B8" s="29" t="s">
        <v>174</v>
      </c>
    </row>
    <row r="11" spans="1:6" ht="18" x14ac:dyDescent="0.4">
      <c r="A11" s="82" t="s">
        <v>177</v>
      </c>
    </row>
    <row r="13" spans="1:6" ht="17.5" x14ac:dyDescent="0.35">
      <c r="A13" s="83" t="s">
        <v>178</v>
      </c>
    </row>
    <row r="15" spans="1:6" s="80" customFormat="1" ht="69" x14ac:dyDescent="0.25">
      <c r="A15" s="80" t="s">
        <v>158</v>
      </c>
      <c r="B15" s="80" t="s">
        <v>179</v>
      </c>
      <c r="C15" s="80" t="s">
        <v>180</v>
      </c>
      <c r="D15" s="80" t="s">
        <v>181</v>
      </c>
      <c r="E15" s="80" t="s">
        <v>183</v>
      </c>
      <c r="F15" s="80" t="s">
        <v>184</v>
      </c>
    </row>
    <row r="17" spans="1:6" x14ac:dyDescent="0.25">
      <c r="A17" s="85">
        <v>21459</v>
      </c>
      <c r="B17" s="86">
        <v>249.42000000000002</v>
      </c>
    </row>
    <row r="18" spans="1:6" x14ac:dyDescent="0.25">
      <c r="A18" s="85">
        <v>22212</v>
      </c>
      <c r="B18" s="86">
        <v>230.24</v>
      </c>
      <c r="C18" s="89">
        <f>B17-B18</f>
        <v>19.180000000000007</v>
      </c>
      <c r="D18" s="90">
        <f>A18-A17</f>
        <v>753</v>
      </c>
      <c r="E18" s="89">
        <f>D18/365.25</f>
        <v>2.0616016427104724</v>
      </c>
      <c r="F18" s="89">
        <f>C18/E18</f>
        <v>9.303446215139445</v>
      </c>
    </row>
    <row r="19" spans="1:6" x14ac:dyDescent="0.25">
      <c r="A19" s="85">
        <v>23954</v>
      </c>
      <c r="B19" s="86">
        <v>198.78000000000003</v>
      </c>
      <c r="C19" s="89">
        <f t="shared" ref="C19:C38" si="0">B18-B19</f>
        <v>31.45999999999998</v>
      </c>
      <c r="D19" s="90">
        <f t="shared" ref="D19:D38" si="1">A19-A18</f>
        <v>1742</v>
      </c>
      <c r="E19" s="89">
        <f t="shared" ref="E19:E40" si="2">D19/365.25</f>
        <v>4.7693360711841208</v>
      </c>
      <c r="F19" s="89">
        <f t="shared" ref="F19:F38" si="3">C19/E19</f>
        <v>6.596305970149249</v>
      </c>
    </row>
    <row r="20" spans="1:6" x14ac:dyDescent="0.25">
      <c r="A20" s="85">
        <v>25767</v>
      </c>
      <c r="B20" s="86">
        <v>182.19</v>
      </c>
      <c r="C20" s="89">
        <f t="shared" si="0"/>
        <v>16.590000000000032</v>
      </c>
      <c r="D20" s="90">
        <f t="shared" si="1"/>
        <v>1813</v>
      </c>
      <c r="E20" s="89">
        <f t="shared" si="2"/>
        <v>4.9637234770704994</v>
      </c>
      <c r="F20" s="89">
        <f t="shared" si="3"/>
        <v>3.3422490347490412</v>
      </c>
    </row>
    <row r="21" spans="1:6" x14ac:dyDescent="0.25">
      <c r="A21" s="85">
        <v>27223</v>
      </c>
      <c r="B21" s="86">
        <v>172.92000000000002</v>
      </c>
      <c r="C21" s="89">
        <f t="shared" si="0"/>
        <v>9.2699999999999818</v>
      </c>
      <c r="D21" s="90">
        <f t="shared" si="1"/>
        <v>1456</v>
      </c>
      <c r="E21" s="89">
        <f t="shared" si="2"/>
        <v>3.9863107460643397</v>
      </c>
      <c r="F21" s="89">
        <f t="shared" si="3"/>
        <v>2.3254584478021934</v>
      </c>
    </row>
    <row r="22" spans="1:6" x14ac:dyDescent="0.25">
      <c r="A22" s="85">
        <v>29552</v>
      </c>
      <c r="B22" s="86">
        <v>162.77000000000001</v>
      </c>
      <c r="C22" s="89">
        <f t="shared" si="0"/>
        <v>10.150000000000006</v>
      </c>
      <c r="D22" s="90">
        <f t="shared" si="1"/>
        <v>2329</v>
      </c>
      <c r="E22" s="89">
        <f t="shared" si="2"/>
        <v>6.3764544832306642</v>
      </c>
      <c r="F22" s="89">
        <f t="shared" si="3"/>
        <v>1.5917936882782318</v>
      </c>
    </row>
    <row r="23" spans="1:6" x14ac:dyDescent="0.25">
      <c r="A23" s="85">
        <v>31711</v>
      </c>
      <c r="B23" s="86">
        <v>148.52000000000001</v>
      </c>
      <c r="C23" s="89">
        <f t="shared" si="0"/>
        <v>14.25</v>
      </c>
      <c r="D23" s="90">
        <f t="shared" si="1"/>
        <v>2159</v>
      </c>
      <c r="E23" s="89">
        <f t="shared" si="2"/>
        <v>5.9110198494182065</v>
      </c>
      <c r="F23" s="89">
        <f t="shared" si="3"/>
        <v>2.41075150532654</v>
      </c>
    </row>
    <row r="24" spans="1:6" x14ac:dyDescent="0.25">
      <c r="A24" s="85">
        <v>33529</v>
      </c>
      <c r="B24" s="86">
        <v>130.4</v>
      </c>
      <c r="C24" s="89">
        <f t="shared" si="0"/>
        <v>18.120000000000005</v>
      </c>
      <c r="D24" s="90">
        <f t="shared" si="1"/>
        <v>1818</v>
      </c>
      <c r="E24" s="89">
        <f t="shared" si="2"/>
        <v>4.9774127310061598</v>
      </c>
      <c r="F24" s="89">
        <f t="shared" si="3"/>
        <v>3.6404455445544568</v>
      </c>
    </row>
    <row r="25" spans="1:6" x14ac:dyDescent="0.25">
      <c r="A25" s="85">
        <v>34628</v>
      </c>
      <c r="B25" s="86">
        <v>128.44</v>
      </c>
      <c r="C25" s="89">
        <f t="shared" si="0"/>
        <v>1.960000000000008</v>
      </c>
      <c r="D25" s="90">
        <f t="shared" si="1"/>
        <v>1099</v>
      </c>
      <c r="E25" s="89">
        <f t="shared" si="2"/>
        <v>3.0088980150581794</v>
      </c>
      <c r="F25" s="89">
        <f t="shared" si="3"/>
        <v>0.65140127388535296</v>
      </c>
    </row>
    <row r="26" spans="1:6" x14ac:dyDescent="0.25">
      <c r="A26" s="85">
        <v>36720</v>
      </c>
      <c r="B26" s="86">
        <v>105.42</v>
      </c>
      <c r="C26" s="89">
        <f t="shared" si="0"/>
        <v>23.019999999999996</v>
      </c>
      <c r="D26" s="90">
        <f t="shared" si="1"/>
        <v>2092</v>
      </c>
      <c r="E26" s="89">
        <f t="shared" si="2"/>
        <v>5.7275838466803561</v>
      </c>
      <c r="F26" s="89">
        <f t="shared" si="3"/>
        <v>4.0191467495219877</v>
      </c>
    </row>
    <row r="27" spans="1:6" x14ac:dyDescent="0.25">
      <c r="A27" s="85">
        <v>37087</v>
      </c>
      <c r="B27" s="86">
        <v>100.47</v>
      </c>
      <c r="C27" s="89">
        <f t="shared" si="0"/>
        <v>4.9500000000000028</v>
      </c>
      <c r="D27" s="90">
        <f t="shared" si="1"/>
        <v>367</v>
      </c>
      <c r="E27" s="89">
        <f t="shared" si="2"/>
        <v>1.0047912388774811</v>
      </c>
      <c r="F27" s="89">
        <f t="shared" si="3"/>
        <v>4.9263964577656703</v>
      </c>
    </row>
    <row r="28" spans="1:6" x14ac:dyDescent="0.25">
      <c r="A28" s="85">
        <v>38555</v>
      </c>
      <c r="B28" s="86">
        <v>82.19</v>
      </c>
      <c r="C28" s="89">
        <f t="shared" si="0"/>
        <v>18.28</v>
      </c>
      <c r="D28" s="90">
        <f t="shared" si="1"/>
        <v>1468</v>
      </c>
      <c r="E28" s="89">
        <f t="shared" si="2"/>
        <v>4.0191649555099245</v>
      </c>
      <c r="F28" s="89">
        <f t="shared" si="3"/>
        <v>4.5482084468664858</v>
      </c>
    </row>
    <row r="29" spans="1:6" x14ac:dyDescent="0.25">
      <c r="A29" s="85">
        <v>38640</v>
      </c>
      <c r="B29" s="86">
        <v>82.15</v>
      </c>
      <c r="C29" s="89">
        <f t="shared" si="0"/>
        <v>3.9999999999992042E-2</v>
      </c>
      <c r="D29" s="90">
        <f t="shared" si="1"/>
        <v>85</v>
      </c>
      <c r="E29" s="89">
        <f t="shared" si="2"/>
        <v>0.2327173169062286</v>
      </c>
      <c r="F29" s="89">
        <f t="shared" si="3"/>
        <v>0.17188235294114229</v>
      </c>
    </row>
    <row r="30" spans="1:6" x14ac:dyDescent="0.25">
      <c r="A30" s="85">
        <v>38920</v>
      </c>
      <c r="B30" s="86">
        <v>78.33</v>
      </c>
      <c r="C30" s="89">
        <f t="shared" si="0"/>
        <v>3.8200000000000074</v>
      </c>
      <c r="D30" s="90">
        <f t="shared" si="1"/>
        <v>280</v>
      </c>
      <c r="E30" s="89">
        <f t="shared" si="2"/>
        <v>0.76659822039698833</v>
      </c>
      <c r="F30" s="89">
        <f t="shared" si="3"/>
        <v>4.9830535714285817</v>
      </c>
    </row>
    <row r="31" spans="1:6" x14ac:dyDescent="0.25">
      <c r="A31" s="85">
        <v>38990</v>
      </c>
      <c r="B31" s="86">
        <v>78.260000000000005</v>
      </c>
      <c r="C31" s="89">
        <f t="shared" si="0"/>
        <v>6.9999999999993179E-2</v>
      </c>
      <c r="D31" s="90">
        <f t="shared" si="1"/>
        <v>70</v>
      </c>
      <c r="E31" s="89">
        <f t="shared" si="2"/>
        <v>0.19164955509924708</v>
      </c>
      <c r="F31" s="89">
        <f t="shared" si="3"/>
        <v>0.36524999999996444</v>
      </c>
    </row>
    <row r="32" spans="1:6" ht="13" x14ac:dyDescent="0.3">
      <c r="A32" s="85">
        <v>40014</v>
      </c>
      <c r="B32" s="87">
        <v>67.790000000000006</v>
      </c>
      <c r="C32" s="89">
        <f t="shared" si="0"/>
        <v>10.469999999999999</v>
      </c>
      <c r="D32" s="90">
        <f t="shared" si="1"/>
        <v>1024</v>
      </c>
      <c r="E32" s="89">
        <f t="shared" si="2"/>
        <v>2.8035592060232717</v>
      </c>
      <c r="F32" s="89">
        <f t="shared" si="3"/>
        <v>3.7345385742187496</v>
      </c>
    </row>
    <row r="33" spans="1:6" ht="13" x14ac:dyDescent="0.3">
      <c r="A33" s="85">
        <v>40383</v>
      </c>
      <c r="B33" s="88">
        <v>65.489999999999995</v>
      </c>
      <c r="C33" s="89">
        <f t="shared" si="0"/>
        <v>2.3000000000000114</v>
      </c>
      <c r="D33" s="90">
        <f t="shared" si="1"/>
        <v>369</v>
      </c>
      <c r="E33" s="89">
        <f t="shared" si="2"/>
        <v>1.0102669404517455</v>
      </c>
      <c r="F33" s="89">
        <f t="shared" si="3"/>
        <v>2.2766260162601735</v>
      </c>
    </row>
    <row r="34" spans="1:6" ht="13" x14ac:dyDescent="0.3">
      <c r="A34" s="85">
        <v>40800</v>
      </c>
      <c r="B34" s="88">
        <v>65.33</v>
      </c>
      <c r="C34" s="89">
        <f t="shared" si="0"/>
        <v>0.15999999999999659</v>
      </c>
      <c r="D34" s="90">
        <f t="shared" si="1"/>
        <v>417</v>
      </c>
      <c r="E34" s="89">
        <f t="shared" si="2"/>
        <v>1.1416837782340863</v>
      </c>
      <c r="F34" s="89">
        <f t="shared" si="3"/>
        <v>0.14014388489208335</v>
      </c>
    </row>
    <row r="35" spans="1:6" x14ac:dyDescent="0.25">
      <c r="A35" s="85">
        <v>41198</v>
      </c>
      <c r="B35" s="86">
        <v>64.52</v>
      </c>
      <c r="C35" s="89">
        <f t="shared" si="0"/>
        <v>0.81000000000000227</v>
      </c>
      <c r="D35" s="90">
        <f t="shared" si="1"/>
        <v>398</v>
      </c>
      <c r="E35" s="89">
        <f t="shared" si="2"/>
        <v>1.0896646132785763</v>
      </c>
      <c r="F35" s="89">
        <f t="shared" si="3"/>
        <v>0.74334798994975082</v>
      </c>
    </row>
    <row r="36" spans="1:6" x14ac:dyDescent="0.25">
      <c r="A36" s="85">
        <v>41464</v>
      </c>
      <c r="B36" s="86">
        <v>62.49</v>
      </c>
      <c r="C36" s="89">
        <f t="shared" si="0"/>
        <v>2.029999999999994</v>
      </c>
      <c r="D36" s="90">
        <f t="shared" si="1"/>
        <v>266</v>
      </c>
      <c r="E36" s="89">
        <f t="shared" si="2"/>
        <v>0.72826830937713893</v>
      </c>
      <c r="F36" s="89">
        <f t="shared" si="3"/>
        <v>2.7874342105263077</v>
      </c>
    </row>
    <row r="37" spans="1:6" x14ac:dyDescent="0.25">
      <c r="A37" s="85">
        <v>42515</v>
      </c>
      <c r="B37" s="86">
        <v>53.2</v>
      </c>
      <c r="C37" s="89">
        <f t="shared" si="0"/>
        <v>9.2899999999999991</v>
      </c>
      <c r="D37" s="90">
        <f t="shared" si="1"/>
        <v>1051</v>
      </c>
      <c r="E37" s="89">
        <f t="shared" si="2"/>
        <v>2.8774811772758384</v>
      </c>
      <c r="F37" s="89">
        <f t="shared" si="3"/>
        <v>3.2285180780209322</v>
      </c>
    </row>
    <row r="38" spans="1:6" x14ac:dyDescent="0.25">
      <c r="A38" s="85">
        <v>43691</v>
      </c>
      <c r="B38" s="86">
        <v>45.8</v>
      </c>
      <c r="C38" s="89">
        <f t="shared" si="0"/>
        <v>7.4000000000000057</v>
      </c>
      <c r="D38" s="90">
        <f t="shared" si="1"/>
        <v>1176</v>
      </c>
      <c r="E38" s="89">
        <f t="shared" si="2"/>
        <v>3.2197125256673513</v>
      </c>
      <c r="F38" s="89">
        <f t="shared" si="3"/>
        <v>2.2983418367346955</v>
      </c>
    </row>
    <row r="40" spans="1:6" ht="13" x14ac:dyDescent="0.3">
      <c r="A40" s="29" t="s">
        <v>182</v>
      </c>
      <c r="C40" s="91">
        <f>B17-B38</f>
        <v>203.62</v>
      </c>
      <c r="D40" s="92">
        <f>A38-A17</f>
        <v>22232</v>
      </c>
      <c r="E40" s="91">
        <f t="shared" si="2"/>
        <v>60.867898699520879</v>
      </c>
    </row>
    <row r="41" spans="1:6" ht="13" x14ac:dyDescent="0.3">
      <c r="A41" s="29" t="s">
        <v>185</v>
      </c>
      <c r="F41" s="91">
        <f>C40/E40</f>
        <v>3.3452773029866858</v>
      </c>
    </row>
    <row r="42" spans="1:6" ht="13" x14ac:dyDescent="0.3">
      <c r="A42" s="29" t="s">
        <v>186</v>
      </c>
      <c r="F42" s="93">
        <f>MAX(F18:F38)</f>
        <v>9.303446215139445</v>
      </c>
    </row>
    <row r="43" spans="1:6" ht="13" x14ac:dyDescent="0.3">
      <c r="A43" s="29" t="s">
        <v>187</v>
      </c>
      <c r="F43" s="93">
        <f>MIN(F18:F38)</f>
        <v>0.14014388489208335</v>
      </c>
    </row>
    <row r="46" spans="1:6" ht="17.5" x14ac:dyDescent="0.35">
      <c r="A46" s="83" t="s">
        <v>188</v>
      </c>
    </row>
    <row r="48" spans="1:6" ht="69" x14ac:dyDescent="0.25">
      <c r="A48" s="80" t="s">
        <v>158</v>
      </c>
      <c r="B48" s="80" t="s">
        <v>179</v>
      </c>
      <c r="C48" s="80" t="s">
        <v>180</v>
      </c>
      <c r="D48" s="80" t="s">
        <v>181</v>
      </c>
      <c r="E48" s="80" t="s">
        <v>183</v>
      </c>
      <c r="F48" s="80" t="s">
        <v>184</v>
      </c>
    </row>
    <row r="50" spans="1:6" x14ac:dyDescent="0.25">
      <c r="A50" s="85">
        <v>21459</v>
      </c>
      <c r="B50" s="86">
        <v>252.52</v>
      </c>
    </row>
    <row r="51" spans="1:6" x14ac:dyDescent="0.25">
      <c r="A51" s="85">
        <v>22212</v>
      </c>
      <c r="B51" s="86">
        <v>231.58</v>
      </c>
      <c r="C51" s="89">
        <f t="shared" ref="C51:C71" si="4">B50-B51</f>
        <v>20.939999999999998</v>
      </c>
      <c r="D51" s="90">
        <f t="shared" ref="D51:D71" si="5">A51-A50</f>
        <v>753</v>
      </c>
      <c r="E51" s="89">
        <f t="shared" ref="E51:E71" si="6">D51/365.25</f>
        <v>2.0616016427104724</v>
      </c>
      <c r="F51" s="89">
        <f t="shared" ref="F51:F71" si="7">C51/E51</f>
        <v>10.157151394422309</v>
      </c>
    </row>
    <row r="52" spans="1:6" x14ac:dyDescent="0.25">
      <c r="A52" s="85">
        <v>23954</v>
      </c>
      <c r="B52" s="86">
        <v>207.65</v>
      </c>
      <c r="C52" s="89">
        <f t="shared" si="4"/>
        <v>23.930000000000007</v>
      </c>
      <c r="D52" s="90">
        <f t="shared" si="5"/>
        <v>1742</v>
      </c>
      <c r="E52" s="89">
        <f t="shared" si="6"/>
        <v>4.7693360711841208</v>
      </c>
      <c r="F52" s="89">
        <f t="shared" si="7"/>
        <v>5.0174698622273262</v>
      </c>
    </row>
    <row r="53" spans="1:6" x14ac:dyDescent="0.25">
      <c r="A53" s="85">
        <v>25767</v>
      </c>
      <c r="B53" s="86">
        <v>187.22</v>
      </c>
      <c r="C53" s="89">
        <f t="shared" si="4"/>
        <v>20.430000000000007</v>
      </c>
      <c r="D53" s="90">
        <f t="shared" si="5"/>
        <v>1813</v>
      </c>
      <c r="E53" s="89">
        <f t="shared" si="6"/>
        <v>4.9637234770704994</v>
      </c>
      <c r="F53" s="89">
        <f t="shared" si="7"/>
        <v>4.1158618312189752</v>
      </c>
    </row>
    <row r="54" spans="1:6" x14ac:dyDescent="0.25">
      <c r="A54" s="85">
        <v>27223</v>
      </c>
      <c r="B54" s="86">
        <v>173.77999999999997</v>
      </c>
      <c r="C54" s="89">
        <f t="shared" si="4"/>
        <v>13.440000000000026</v>
      </c>
      <c r="D54" s="90">
        <f t="shared" si="5"/>
        <v>1456</v>
      </c>
      <c r="E54" s="89">
        <f t="shared" si="6"/>
        <v>3.9863107460643397</v>
      </c>
      <c r="F54" s="89">
        <f t="shared" si="7"/>
        <v>3.371538461538468</v>
      </c>
    </row>
    <row r="55" spans="1:6" x14ac:dyDescent="0.25">
      <c r="A55" s="85">
        <v>29552</v>
      </c>
      <c r="B55" s="86">
        <v>163.52999999999997</v>
      </c>
      <c r="C55" s="89">
        <f t="shared" si="4"/>
        <v>10.25</v>
      </c>
      <c r="D55" s="90">
        <f t="shared" si="5"/>
        <v>2329</v>
      </c>
      <c r="E55" s="89">
        <f t="shared" si="6"/>
        <v>6.3764544832306642</v>
      </c>
      <c r="F55" s="89">
        <f t="shared" si="7"/>
        <v>1.6074763847144697</v>
      </c>
    </row>
    <row r="56" spans="1:6" x14ac:dyDescent="0.25">
      <c r="A56" s="85">
        <v>31711</v>
      </c>
      <c r="B56" s="86">
        <v>148.37</v>
      </c>
      <c r="C56" s="89">
        <f t="shared" si="4"/>
        <v>15.159999999999968</v>
      </c>
      <c r="D56" s="90">
        <f t="shared" si="5"/>
        <v>2159</v>
      </c>
      <c r="E56" s="89">
        <f t="shared" si="6"/>
        <v>5.9110198494182065</v>
      </c>
      <c r="F56" s="89">
        <f t="shared" si="7"/>
        <v>2.5647012505789664</v>
      </c>
    </row>
    <row r="57" spans="1:6" x14ac:dyDescent="0.25">
      <c r="A57" s="85">
        <v>33529</v>
      </c>
      <c r="B57" s="86">
        <v>128.44999999999999</v>
      </c>
      <c r="C57" s="89">
        <f t="shared" si="4"/>
        <v>19.920000000000016</v>
      </c>
      <c r="D57" s="90">
        <f t="shared" si="5"/>
        <v>1818</v>
      </c>
      <c r="E57" s="89">
        <f t="shared" si="6"/>
        <v>4.9774127310061598</v>
      </c>
      <c r="F57" s="89">
        <f t="shared" si="7"/>
        <v>4.0020792079207954</v>
      </c>
    </row>
    <row r="58" spans="1:6" x14ac:dyDescent="0.25">
      <c r="A58" s="85">
        <v>34628</v>
      </c>
      <c r="B58" s="86">
        <v>127.82</v>
      </c>
      <c r="C58" s="89">
        <f t="shared" si="4"/>
        <v>0.62999999999999545</v>
      </c>
      <c r="D58" s="90">
        <f t="shared" si="5"/>
        <v>1099</v>
      </c>
      <c r="E58" s="89">
        <f t="shared" si="6"/>
        <v>3.0088980150581794</v>
      </c>
      <c r="F58" s="89">
        <f t="shared" si="7"/>
        <v>0.20937898089171822</v>
      </c>
    </row>
    <row r="59" spans="1:6" x14ac:dyDescent="0.25">
      <c r="A59" s="85">
        <v>36720</v>
      </c>
      <c r="B59" s="86">
        <v>91.26</v>
      </c>
      <c r="C59" s="89">
        <f t="shared" si="4"/>
        <v>36.559999999999988</v>
      </c>
      <c r="D59" s="90">
        <f t="shared" si="5"/>
        <v>2092</v>
      </c>
      <c r="E59" s="89">
        <f t="shared" si="6"/>
        <v>5.7275838466803561</v>
      </c>
      <c r="F59" s="89">
        <f t="shared" si="7"/>
        <v>6.3831453154875692</v>
      </c>
    </row>
    <row r="60" spans="1:6" x14ac:dyDescent="0.25">
      <c r="A60" s="85">
        <v>37087</v>
      </c>
      <c r="B60" s="86">
        <v>84.699999999999989</v>
      </c>
      <c r="C60" s="89">
        <f t="shared" si="4"/>
        <v>6.5600000000000165</v>
      </c>
      <c r="D60" s="90">
        <f t="shared" si="5"/>
        <v>367</v>
      </c>
      <c r="E60" s="89">
        <f t="shared" si="6"/>
        <v>1.0047912388774811</v>
      </c>
      <c r="F60" s="89">
        <f t="shared" si="7"/>
        <v>6.5287193460490629</v>
      </c>
    </row>
    <row r="61" spans="1:6" x14ac:dyDescent="0.25">
      <c r="A61" s="85">
        <v>38555</v>
      </c>
      <c r="B61" s="86">
        <v>53.9</v>
      </c>
      <c r="C61" s="89">
        <f t="shared" si="4"/>
        <v>30.79999999999999</v>
      </c>
      <c r="D61" s="90">
        <f t="shared" si="5"/>
        <v>1468</v>
      </c>
      <c r="E61" s="89">
        <f t="shared" si="6"/>
        <v>4.0191649555099245</v>
      </c>
      <c r="F61" s="89">
        <f t="shared" si="7"/>
        <v>7.6632833787465922</v>
      </c>
    </row>
    <row r="62" spans="1:6" x14ac:dyDescent="0.25">
      <c r="A62" s="85">
        <v>38640</v>
      </c>
      <c r="B62" s="86">
        <v>52.25</v>
      </c>
      <c r="C62" s="89">
        <f t="shared" si="4"/>
        <v>1.6499999999999986</v>
      </c>
      <c r="D62" s="90">
        <f t="shared" si="5"/>
        <v>85</v>
      </c>
      <c r="E62" s="89">
        <f t="shared" si="6"/>
        <v>0.2327173169062286</v>
      </c>
      <c r="F62" s="89">
        <f t="shared" si="7"/>
        <v>7.0901470588235238</v>
      </c>
    </row>
    <row r="63" spans="1:6" x14ac:dyDescent="0.25">
      <c r="A63" s="85">
        <v>38920</v>
      </c>
      <c r="B63" s="86">
        <v>48.55</v>
      </c>
      <c r="C63" s="89">
        <f t="shared" si="4"/>
        <v>3.7000000000000028</v>
      </c>
      <c r="D63" s="90">
        <f t="shared" si="5"/>
        <v>280</v>
      </c>
      <c r="E63" s="89">
        <f t="shared" si="6"/>
        <v>0.76659822039698833</v>
      </c>
      <c r="F63" s="89">
        <f t="shared" si="7"/>
        <v>4.8265178571428606</v>
      </c>
    </row>
    <row r="64" spans="1:6" x14ac:dyDescent="0.25">
      <c r="A64" s="85">
        <v>38990</v>
      </c>
      <c r="B64" s="86">
        <v>48.19</v>
      </c>
      <c r="C64" s="89">
        <f t="shared" si="4"/>
        <v>0.35999999999999943</v>
      </c>
      <c r="D64" s="90">
        <f t="shared" si="5"/>
        <v>70</v>
      </c>
      <c r="E64" s="89">
        <f t="shared" si="6"/>
        <v>0.19164955509924708</v>
      </c>
      <c r="F64" s="89">
        <f t="shared" si="7"/>
        <v>1.8784285714285684</v>
      </c>
    </row>
    <row r="65" spans="1:6" x14ac:dyDescent="0.25">
      <c r="A65" s="85">
        <v>40014</v>
      </c>
      <c r="B65" s="86">
        <v>32.200000000000003</v>
      </c>
      <c r="C65" s="89">
        <f t="shared" si="4"/>
        <v>15.989999999999995</v>
      </c>
      <c r="D65" s="90">
        <f t="shared" si="5"/>
        <v>1024</v>
      </c>
      <c r="E65" s="89">
        <f t="shared" si="6"/>
        <v>2.8035592060232717</v>
      </c>
      <c r="F65" s="89">
        <f t="shared" si="7"/>
        <v>5.7034643554687481</v>
      </c>
    </row>
    <row r="66" spans="1:6" x14ac:dyDescent="0.25">
      <c r="A66" s="85">
        <v>40383</v>
      </c>
      <c r="B66" s="86">
        <v>29.91</v>
      </c>
      <c r="C66" s="89">
        <f t="shared" si="4"/>
        <v>2.2900000000000027</v>
      </c>
      <c r="D66" s="90">
        <f t="shared" si="5"/>
        <v>369</v>
      </c>
      <c r="E66" s="89">
        <f t="shared" si="6"/>
        <v>1.0102669404517455</v>
      </c>
      <c r="F66" s="89">
        <f t="shared" si="7"/>
        <v>2.2667276422764253</v>
      </c>
    </row>
    <row r="67" spans="1:6" x14ac:dyDescent="0.25">
      <c r="A67" s="85">
        <v>40800</v>
      </c>
      <c r="B67" s="86">
        <v>29.02</v>
      </c>
      <c r="C67" s="89">
        <f t="shared" si="4"/>
        <v>0.89000000000000057</v>
      </c>
      <c r="D67" s="90">
        <f t="shared" si="5"/>
        <v>417</v>
      </c>
      <c r="E67" s="89">
        <f t="shared" si="6"/>
        <v>1.1416837782340863</v>
      </c>
      <c r="F67" s="89">
        <f t="shared" si="7"/>
        <v>0.77955035971223063</v>
      </c>
    </row>
    <row r="68" spans="1:6" x14ac:dyDescent="0.25">
      <c r="A68" s="85">
        <v>41198</v>
      </c>
      <c r="B68" s="86">
        <v>27.9</v>
      </c>
      <c r="C68" s="89">
        <f t="shared" si="4"/>
        <v>1.120000000000001</v>
      </c>
      <c r="D68" s="90">
        <f t="shared" si="5"/>
        <v>398</v>
      </c>
      <c r="E68" s="89">
        <f t="shared" si="6"/>
        <v>1.0896646132785763</v>
      </c>
      <c r="F68" s="89">
        <f t="shared" si="7"/>
        <v>1.0278391959799005</v>
      </c>
    </row>
    <row r="69" spans="1:6" x14ac:dyDescent="0.25">
      <c r="A69" s="85">
        <v>41464</v>
      </c>
      <c r="B69" s="86">
        <v>26.69</v>
      </c>
      <c r="C69" s="89">
        <f t="shared" si="4"/>
        <v>1.2099999999999973</v>
      </c>
      <c r="D69" s="90">
        <f t="shared" si="5"/>
        <v>266</v>
      </c>
      <c r="E69" s="89">
        <f t="shared" si="6"/>
        <v>0.72826830937713893</v>
      </c>
      <c r="F69" s="89">
        <f t="shared" si="7"/>
        <v>1.6614755639097707</v>
      </c>
    </row>
    <row r="70" spans="1:6" x14ac:dyDescent="0.25">
      <c r="A70" s="85">
        <v>42515</v>
      </c>
      <c r="B70" s="86">
        <v>18.54</v>
      </c>
      <c r="C70" s="89">
        <f t="shared" si="4"/>
        <v>8.1500000000000021</v>
      </c>
      <c r="D70" s="90">
        <f t="shared" si="5"/>
        <v>1051</v>
      </c>
      <c r="E70" s="89">
        <f t="shared" si="6"/>
        <v>2.8774811772758384</v>
      </c>
      <c r="F70" s="89">
        <f t="shared" si="7"/>
        <v>2.8323382492863947</v>
      </c>
    </row>
    <row r="71" spans="1:6" x14ac:dyDescent="0.25">
      <c r="A71" s="85">
        <v>43691</v>
      </c>
      <c r="B71" s="86">
        <v>14.95</v>
      </c>
      <c r="C71" s="89">
        <f t="shared" si="4"/>
        <v>3.59</v>
      </c>
      <c r="D71" s="90">
        <f t="shared" si="5"/>
        <v>1176</v>
      </c>
      <c r="E71" s="89">
        <f t="shared" si="6"/>
        <v>3.2197125256673513</v>
      </c>
      <c r="F71" s="89">
        <f t="shared" si="7"/>
        <v>1.1150063775510204</v>
      </c>
    </row>
    <row r="73" spans="1:6" ht="13" x14ac:dyDescent="0.3">
      <c r="A73" s="29" t="s">
        <v>182</v>
      </c>
      <c r="C73" s="91">
        <f>B50-B71</f>
        <v>237.57000000000002</v>
      </c>
      <c r="D73" s="92">
        <f>A71-A50</f>
        <v>22232</v>
      </c>
      <c r="E73" s="91">
        <f>D73/365.25</f>
        <v>60.867898699520879</v>
      </c>
    </row>
    <row r="74" spans="1:6" ht="13" x14ac:dyDescent="0.3">
      <c r="A74" s="29" t="s">
        <v>185</v>
      </c>
      <c r="F74" s="91">
        <f>C73/E73</f>
        <v>3.9030425737675425</v>
      </c>
    </row>
    <row r="75" spans="1:6" ht="13" x14ac:dyDescent="0.3">
      <c r="A75" s="29" t="s">
        <v>186</v>
      </c>
      <c r="F75" s="93">
        <f>MAX(F51:F71)</f>
        <v>10.157151394422309</v>
      </c>
    </row>
    <row r="76" spans="1:6" ht="13" x14ac:dyDescent="0.3">
      <c r="A76" s="29" t="s">
        <v>187</v>
      </c>
      <c r="F76" s="93">
        <f>MIN(F51:F71)</f>
        <v>0.20937898089171822</v>
      </c>
    </row>
    <row r="79" spans="1:6" ht="17.5" x14ac:dyDescent="0.35">
      <c r="A79" s="83" t="s">
        <v>219</v>
      </c>
    </row>
    <row r="81" spans="1:6" ht="69" x14ac:dyDescent="0.25">
      <c r="A81" s="80" t="s">
        <v>158</v>
      </c>
      <c r="B81" s="80" t="s">
        <v>179</v>
      </c>
      <c r="C81" s="80" t="s">
        <v>180</v>
      </c>
      <c r="D81" s="80" t="s">
        <v>181</v>
      </c>
      <c r="E81" s="80" t="s">
        <v>183</v>
      </c>
      <c r="F81" s="80" t="s">
        <v>184</v>
      </c>
    </row>
    <row r="83" spans="1:6" x14ac:dyDescent="0.25">
      <c r="A83" s="85">
        <v>21459</v>
      </c>
      <c r="B83" s="86">
        <v>428.82981568639838</v>
      </c>
    </row>
    <row r="84" spans="1:6" x14ac:dyDescent="0.25">
      <c r="A84" s="85">
        <v>22212</v>
      </c>
      <c r="B84" s="86">
        <v>403.72981568639835</v>
      </c>
      <c r="C84" s="89">
        <f t="shared" ref="C84:C102" si="8">B83-B84</f>
        <v>25.100000000000023</v>
      </c>
      <c r="D84" s="90">
        <f t="shared" ref="D84:D102" si="9">A84-A83</f>
        <v>753</v>
      </c>
      <c r="E84" s="89">
        <f t="shared" ref="E84:E102" si="10">D84/365.25</f>
        <v>2.0616016427104724</v>
      </c>
      <c r="F84" s="89">
        <f t="shared" ref="F84:F102" si="11">C84/E84</f>
        <v>12.17500000000001</v>
      </c>
    </row>
    <row r="85" spans="1:6" x14ac:dyDescent="0.25">
      <c r="A85" s="85">
        <v>23954</v>
      </c>
      <c r="B85" s="86">
        <v>366.57981568639838</v>
      </c>
      <c r="C85" s="89">
        <f t="shared" si="8"/>
        <v>37.149999999999977</v>
      </c>
      <c r="D85" s="90">
        <f t="shared" si="9"/>
        <v>1742</v>
      </c>
      <c r="E85" s="89">
        <f t="shared" si="10"/>
        <v>4.7693360711841208</v>
      </c>
      <c r="F85" s="89">
        <f t="shared" si="11"/>
        <v>7.7893441446613032</v>
      </c>
    </row>
    <row r="86" spans="1:6" x14ac:dyDescent="0.25">
      <c r="A86" s="85">
        <v>25767</v>
      </c>
      <c r="B86" s="86">
        <v>343.23981568639834</v>
      </c>
      <c r="C86" s="89">
        <f t="shared" si="8"/>
        <v>23.340000000000032</v>
      </c>
      <c r="D86" s="90">
        <f t="shared" si="9"/>
        <v>1813</v>
      </c>
      <c r="E86" s="89">
        <f t="shared" si="10"/>
        <v>4.9637234770704994</v>
      </c>
      <c r="F86" s="89">
        <f t="shared" si="11"/>
        <v>4.7021152785438565</v>
      </c>
    </row>
    <row r="87" spans="1:6" x14ac:dyDescent="0.25">
      <c r="A87" s="85">
        <v>27223</v>
      </c>
      <c r="B87" s="86">
        <v>326.63395009159166</v>
      </c>
      <c r="C87" s="89">
        <f t="shared" si="8"/>
        <v>16.605865594806687</v>
      </c>
      <c r="D87" s="90">
        <f t="shared" si="9"/>
        <v>1456</v>
      </c>
      <c r="E87" s="89">
        <f t="shared" si="10"/>
        <v>3.9863107460643397</v>
      </c>
      <c r="F87" s="89">
        <f t="shared" si="11"/>
        <v>4.1657228080378728</v>
      </c>
    </row>
    <row r="88" spans="1:6" x14ac:dyDescent="0.25">
      <c r="A88" s="85">
        <v>29552</v>
      </c>
      <c r="B88" s="86">
        <v>313.97981568639835</v>
      </c>
      <c r="C88" s="89">
        <f t="shared" si="8"/>
        <v>12.654134405193304</v>
      </c>
      <c r="D88" s="90">
        <f t="shared" si="9"/>
        <v>2329</v>
      </c>
      <c r="E88" s="89">
        <f t="shared" si="10"/>
        <v>6.3764544832306642</v>
      </c>
      <c r="F88" s="89">
        <f t="shared" si="11"/>
        <v>1.9845094854001091</v>
      </c>
    </row>
    <row r="89" spans="1:6" x14ac:dyDescent="0.25">
      <c r="A89" s="85">
        <v>31711</v>
      </c>
      <c r="B89" s="86">
        <v>291.95568095468417</v>
      </c>
      <c r="C89" s="89">
        <f t="shared" si="8"/>
        <v>22.024134731714184</v>
      </c>
      <c r="D89" s="90">
        <f t="shared" si="9"/>
        <v>2159</v>
      </c>
      <c r="E89" s="89">
        <f t="shared" si="10"/>
        <v>5.9110198494182065</v>
      </c>
      <c r="F89" s="89">
        <f t="shared" si="11"/>
        <v>3.7259449795083865</v>
      </c>
    </row>
    <row r="90" spans="1:6" x14ac:dyDescent="0.25">
      <c r="A90" s="85">
        <v>33529</v>
      </c>
      <c r="B90" s="86">
        <v>270.29212239798659</v>
      </c>
      <c r="C90" s="89">
        <f t="shared" si="8"/>
        <v>21.663558556697581</v>
      </c>
      <c r="D90" s="90">
        <f t="shared" si="9"/>
        <v>1818</v>
      </c>
      <c r="E90" s="89">
        <f t="shared" si="10"/>
        <v>4.9774127310061598</v>
      </c>
      <c r="F90" s="89">
        <f t="shared" si="11"/>
        <v>4.3523733568942751</v>
      </c>
    </row>
    <row r="91" spans="1:6" x14ac:dyDescent="0.25">
      <c r="A91" s="85">
        <v>34628</v>
      </c>
      <c r="B91" s="86">
        <v>248.59204690653323</v>
      </c>
      <c r="C91" s="89">
        <f t="shared" si="8"/>
        <v>21.700075491453362</v>
      </c>
      <c r="D91" s="90">
        <f t="shared" si="9"/>
        <v>1099</v>
      </c>
      <c r="E91" s="89">
        <f t="shared" si="10"/>
        <v>3.0088980150581794</v>
      </c>
      <c r="F91" s="89">
        <f t="shared" si="11"/>
        <v>7.2119677645617291</v>
      </c>
    </row>
    <row r="92" spans="1:6" x14ac:dyDescent="0.25">
      <c r="A92" s="85">
        <v>36720</v>
      </c>
      <c r="B92" s="86">
        <v>216.73981568639834</v>
      </c>
      <c r="C92" s="89">
        <f t="shared" si="8"/>
        <v>31.852231220134883</v>
      </c>
      <c r="D92" s="90">
        <f t="shared" si="9"/>
        <v>2092</v>
      </c>
      <c r="E92" s="89">
        <f t="shared" si="10"/>
        <v>5.7275838466803561</v>
      </c>
      <c r="F92" s="89">
        <f t="shared" si="11"/>
        <v>5.5611985913739321</v>
      </c>
    </row>
    <row r="93" spans="1:6" x14ac:dyDescent="0.25">
      <c r="A93" s="85">
        <v>38640</v>
      </c>
      <c r="B93" s="86">
        <v>180.44548040816096</v>
      </c>
      <c r="C93" s="89">
        <f t="shared" si="8"/>
        <v>36.294335278237384</v>
      </c>
      <c r="D93" s="90">
        <f t="shared" si="9"/>
        <v>1920</v>
      </c>
      <c r="E93" s="89">
        <f t="shared" si="10"/>
        <v>5.2566735112936342</v>
      </c>
      <c r="F93" s="89">
        <f t="shared" si="11"/>
        <v>6.9044301876959402</v>
      </c>
    </row>
    <row r="94" spans="1:6" x14ac:dyDescent="0.25">
      <c r="A94" s="85">
        <v>38920</v>
      </c>
      <c r="B94" s="86">
        <v>175.84</v>
      </c>
      <c r="C94" s="89">
        <f t="shared" si="8"/>
        <v>4.6054804081609575</v>
      </c>
      <c r="D94" s="90">
        <f t="shared" si="9"/>
        <v>280</v>
      </c>
      <c r="E94" s="89">
        <f t="shared" si="10"/>
        <v>0.76659822039698833</v>
      </c>
      <c r="F94" s="89">
        <f t="shared" si="11"/>
        <v>6.0076847110028204</v>
      </c>
    </row>
    <row r="95" spans="1:6" x14ac:dyDescent="0.25">
      <c r="A95" s="85">
        <v>38990</v>
      </c>
      <c r="B95" s="86">
        <v>175.79000000000002</v>
      </c>
      <c r="C95" s="89">
        <f t="shared" si="8"/>
        <v>4.9999999999982947E-2</v>
      </c>
      <c r="D95" s="90">
        <f t="shared" si="9"/>
        <v>70</v>
      </c>
      <c r="E95" s="89">
        <f t="shared" si="10"/>
        <v>0.19164955509924708</v>
      </c>
      <c r="F95" s="89">
        <f t="shared" si="11"/>
        <v>0.26089285714276816</v>
      </c>
    </row>
    <row r="96" spans="1:6" x14ac:dyDescent="0.25">
      <c r="A96" s="85">
        <v>40014</v>
      </c>
      <c r="B96" s="86">
        <v>146.9</v>
      </c>
      <c r="C96" s="89">
        <f t="shared" si="8"/>
        <v>28.890000000000015</v>
      </c>
      <c r="D96" s="90">
        <f t="shared" si="9"/>
        <v>1024</v>
      </c>
      <c r="E96" s="89">
        <f t="shared" si="10"/>
        <v>2.8035592060232717</v>
      </c>
      <c r="F96" s="89">
        <f t="shared" si="11"/>
        <v>10.304758300781256</v>
      </c>
    </row>
    <row r="97" spans="1:6" x14ac:dyDescent="0.25">
      <c r="A97" s="85">
        <v>40383</v>
      </c>
      <c r="B97" s="86">
        <v>144.63</v>
      </c>
      <c r="C97" s="89">
        <f t="shared" si="8"/>
        <v>2.2700000000000102</v>
      </c>
      <c r="D97" s="90">
        <f t="shared" si="9"/>
        <v>369</v>
      </c>
      <c r="E97" s="89">
        <f t="shared" si="10"/>
        <v>1.0102669404517455</v>
      </c>
      <c r="F97" s="89">
        <f t="shared" si="11"/>
        <v>2.246930894308953</v>
      </c>
    </row>
    <row r="98" spans="1:6" x14ac:dyDescent="0.25">
      <c r="A98" s="85">
        <v>40800</v>
      </c>
      <c r="B98" s="86">
        <v>143.99</v>
      </c>
      <c r="C98" s="89">
        <f t="shared" si="8"/>
        <v>0.63999999999998636</v>
      </c>
      <c r="D98" s="90">
        <f t="shared" si="9"/>
        <v>417</v>
      </c>
      <c r="E98" s="89">
        <f t="shared" si="10"/>
        <v>1.1416837782340863</v>
      </c>
      <c r="F98" s="89">
        <f t="shared" si="11"/>
        <v>0.56057553956833339</v>
      </c>
    </row>
    <row r="99" spans="1:6" x14ac:dyDescent="0.25">
      <c r="A99" s="85">
        <v>41198</v>
      </c>
      <c r="B99" s="86">
        <v>143.25</v>
      </c>
      <c r="C99" s="89">
        <f t="shared" si="8"/>
        <v>0.74000000000000909</v>
      </c>
      <c r="D99" s="90">
        <f t="shared" si="9"/>
        <v>398</v>
      </c>
      <c r="E99" s="89">
        <f t="shared" si="10"/>
        <v>1.0896646132785763</v>
      </c>
      <c r="F99" s="89">
        <f t="shared" si="11"/>
        <v>0.67910804020101334</v>
      </c>
    </row>
    <row r="100" spans="1:6" x14ac:dyDescent="0.25">
      <c r="A100" s="85">
        <v>41464</v>
      </c>
      <c r="B100" s="86">
        <v>137.19999999999999</v>
      </c>
      <c r="C100" s="89">
        <f t="shared" si="8"/>
        <v>6.0500000000000114</v>
      </c>
      <c r="D100" s="90">
        <f t="shared" si="9"/>
        <v>266</v>
      </c>
      <c r="E100" s="89">
        <f t="shared" si="10"/>
        <v>0.72826830937713893</v>
      </c>
      <c r="F100" s="89">
        <f t="shared" si="11"/>
        <v>8.3073778195488881</v>
      </c>
    </row>
    <row r="101" spans="1:6" x14ac:dyDescent="0.25">
      <c r="A101" s="85">
        <v>42515</v>
      </c>
      <c r="B101" s="100">
        <v>125.15</v>
      </c>
      <c r="C101" s="89">
        <f t="shared" si="8"/>
        <v>12.049999999999983</v>
      </c>
      <c r="D101" s="90">
        <f t="shared" si="9"/>
        <v>1051</v>
      </c>
      <c r="E101" s="89">
        <f t="shared" si="10"/>
        <v>2.8774811772758384</v>
      </c>
      <c r="F101" s="89">
        <f t="shared" si="11"/>
        <v>4.1876902949571777</v>
      </c>
    </row>
    <row r="102" spans="1:6" x14ac:dyDescent="0.25">
      <c r="A102" s="85">
        <v>43691</v>
      </c>
      <c r="B102" s="86">
        <v>121.8</v>
      </c>
      <c r="C102" s="89">
        <f t="shared" si="8"/>
        <v>3.3500000000000085</v>
      </c>
      <c r="D102" s="90">
        <f t="shared" si="9"/>
        <v>1176</v>
      </c>
      <c r="E102" s="89">
        <f t="shared" si="10"/>
        <v>3.2197125256673513</v>
      </c>
      <c r="F102" s="89">
        <f t="shared" si="11"/>
        <v>1.0404655612244924</v>
      </c>
    </row>
    <row r="104" spans="1:6" ht="13" x14ac:dyDescent="0.3">
      <c r="A104" s="29" t="s">
        <v>182</v>
      </c>
      <c r="C104" s="91">
        <f>B83-B102</f>
        <v>307.02981568639836</v>
      </c>
      <c r="D104" s="92">
        <f>A102-A83</f>
        <v>22232</v>
      </c>
      <c r="E104" s="91">
        <f>D104/365.25</f>
        <v>60.867898699520879</v>
      </c>
    </row>
    <row r="105" spans="1:6" ht="13" x14ac:dyDescent="0.3">
      <c r="A105" s="29" t="s">
        <v>185</v>
      </c>
      <c r="F105" s="91">
        <f>C104/E104</f>
        <v>5.0441993603570081</v>
      </c>
    </row>
    <row r="106" spans="1:6" ht="13" x14ac:dyDescent="0.3">
      <c r="A106" s="29" t="s">
        <v>186</v>
      </c>
      <c r="F106" s="93">
        <f>MAX(F84:F102)</f>
        <v>12.17500000000001</v>
      </c>
    </row>
    <row r="107" spans="1:6" ht="13" x14ac:dyDescent="0.3">
      <c r="A107" s="29" t="s">
        <v>187</v>
      </c>
      <c r="F107" s="93">
        <f>MIN(F84:F102)</f>
        <v>0.26089285714276816</v>
      </c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2"/>
  <sheetViews>
    <sheetView tabSelected="1" workbookViewId="0">
      <selection activeCell="AD39" sqref="AD39"/>
    </sheetView>
  </sheetViews>
  <sheetFormatPr defaultRowHeight="13" x14ac:dyDescent="0.3"/>
  <cols>
    <col min="1" max="1" width="10.1796875" style="2" bestFit="1" customWidth="1"/>
    <col min="2" max="2" width="10.81640625" style="10" customWidth="1"/>
    <col min="3" max="3" width="9.1796875" style="2" customWidth="1"/>
    <col min="4" max="4" width="14.1796875" style="10" customWidth="1"/>
    <col min="5" max="5" width="11" style="2" customWidth="1"/>
    <col min="6" max="6" width="11.54296875" style="1" bestFit="1" customWidth="1"/>
    <col min="7" max="9" width="11.54296875" style="1" customWidth="1"/>
    <col min="10" max="10" width="11.26953125" style="4" customWidth="1"/>
    <col min="11" max="11" width="14.26953125" style="11" customWidth="1"/>
    <col min="12" max="12" width="9.1796875" style="4" customWidth="1"/>
    <col min="13" max="13" width="10.7265625" style="11" customWidth="1"/>
    <col min="14" max="18" width="9.1796875" style="4" customWidth="1"/>
    <col min="19" max="19" width="12.1796875" style="6" customWidth="1"/>
    <col min="20" max="20" width="9.1796875" style="12" customWidth="1"/>
    <col min="21" max="21" width="9.1796875" style="6" customWidth="1"/>
    <col min="22" max="22" width="9.1796875" style="12" customWidth="1"/>
    <col min="23" max="27" width="9.1796875" style="6" customWidth="1"/>
    <col min="31" max="31" width="10.54296875" customWidth="1"/>
    <col min="32" max="32" width="11.26953125" customWidth="1"/>
    <col min="33" max="33" width="11" customWidth="1"/>
    <col min="34" max="34" width="11.7265625" customWidth="1"/>
    <col min="35" max="35" width="11.453125" customWidth="1"/>
  </cols>
  <sheetData>
    <row r="1" spans="1:34" x14ac:dyDescent="0.3">
      <c r="A1" s="1" t="s">
        <v>10</v>
      </c>
      <c r="J1" s="3" t="s">
        <v>11</v>
      </c>
      <c r="S1" s="5" t="s">
        <v>12</v>
      </c>
      <c r="AE1" s="29" t="s">
        <v>205</v>
      </c>
    </row>
    <row r="2" spans="1:34" x14ac:dyDescent="0.3">
      <c r="AE2" s="54" t="s">
        <v>206</v>
      </c>
    </row>
    <row r="3" spans="1:34" s="80" customFormat="1" ht="34.5" x14ac:dyDescent="0.25">
      <c r="A3" s="77" t="s">
        <v>158</v>
      </c>
      <c r="B3" s="77" t="s">
        <v>160</v>
      </c>
      <c r="C3" s="77" t="s">
        <v>169</v>
      </c>
      <c r="D3" s="77" t="s">
        <v>170</v>
      </c>
      <c r="E3" s="77" t="s">
        <v>175</v>
      </c>
      <c r="F3" s="77" t="s">
        <v>171</v>
      </c>
      <c r="G3" s="77" t="s">
        <v>176</v>
      </c>
      <c r="H3" s="77"/>
      <c r="I3" s="77"/>
      <c r="J3" s="78" t="s">
        <v>158</v>
      </c>
      <c r="K3" s="78" t="s">
        <v>160</v>
      </c>
      <c r="L3" s="78" t="s">
        <v>169</v>
      </c>
      <c r="M3" s="78" t="s">
        <v>170</v>
      </c>
      <c r="N3" s="78" t="s">
        <v>175</v>
      </c>
      <c r="O3" s="78" t="s">
        <v>171</v>
      </c>
      <c r="P3" s="78"/>
      <c r="Q3" s="78"/>
      <c r="R3" s="78"/>
      <c r="S3" s="79" t="s">
        <v>158</v>
      </c>
      <c r="T3" s="79" t="s">
        <v>160</v>
      </c>
      <c r="U3" s="79" t="s">
        <v>169</v>
      </c>
      <c r="V3" s="79" t="s">
        <v>170</v>
      </c>
      <c r="W3" s="79" t="s">
        <v>175</v>
      </c>
      <c r="X3" s="79" t="s">
        <v>171</v>
      </c>
      <c r="Y3" s="79"/>
      <c r="Z3" s="79"/>
      <c r="AA3" s="79"/>
      <c r="AE3" s="80" t="s">
        <v>189</v>
      </c>
      <c r="AF3" s="80" t="s">
        <v>190</v>
      </c>
      <c r="AG3" s="80" t="s">
        <v>191</v>
      </c>
      <c r="AH3" s="80" t="s">
        <v>192</v>
      </c>
    </row>
    <row r="4" spans="1:34" x14ac:dyDescent="0.3">
      <c r="AE4" t="s">
        <v>193</v>
      </c>
      <c r="AF4" s="84">
        <v>34628</v>
      </c>
      <c r="AG4" s="51">
        <v>5571833</v>
      </c>
      <c r="AH4" s="51">
        <v>560386</v>
      </c>
    </row>
    <row r="5" spans="1:34" x14ac:dyDescent="0.3">
      <c r="A5" s="21">
        <v>21459</v>
      </c>
      <c r="B5" s="10">
        <v>136</v>
      </c>
      <c r="C5" s="20">
        <v>125.4</v>
      </c>
      <c r="D5" s="10" t="s">
        <v>20</v>
      </c>
      <c r="E5" s="2">
        <f>69.73+54.29</f>
        <v>124.02000000000001</v>
      </c>
      <c r="F5" s="16">
        <f>E5+C5</f>
        <v>249.42000000000002</v>
      </c>
      <c r="G5" s="16"/>
      <c r="H5" s="16"/>
      <c r="I5" s="16"/>
      <c r="J5" s="8">
        <f>IF(ISNUMBER(A5),A5,"")</f>
        <v>21459</v>
      </c>
      <c r="K5" s="11">
        <v>138</v>
      </c>
      <c r="L5" s="22">
        <v>156.30000000000001</v>
      </c>
      <c r="M5" s="11" t="s">
        <v>22</v>
      </c>
      <c r="N5" s="4">
        <v>96.22</v>
      </c>
      <c r="O5" s="17">
        <f>N5+L5</f>
        <v>252.52</v>
      </c>
      <c r="P5" s="17"/>
      <c r="Q5" s="17"/>
      <c r="R5" s="17"/>
      <c r="S5" s="9">
        <f>IF(ISNUMBER(J5),J5,"")</f>
        <v>21459</v>
      </c>
      <c r="T5" s="12">
        <v>140</v>
      </c>
      <c r="U5" s="23">
        <v>134.30000000000001</v>
      </c>
      <c r="V5" s="95" t="s">
        <v>24</v>
      </c>
      <c r="X5" s="98">
        <f>AJ29+U5</f>
        <v>428.82981568639838</v>
      </c>
      <c r="AE5" t="s">
        <v>194</v>
      </c>
      <c r="AF5" s="84">
        <v>34628</v>
      </c>
      <c r="AG5" s="51">
        <v>5571799.1930484045</v>
      </c>
      <c r="AH5" s="51">
        <v>560447.60200139089</v>
      </c>
    </row>
    <row r="6" spans="1:34" x14ac:dyDescent="0.3">
      <c r="A6" s="21">
        <v>22212</v>
      </c>
      <c r="B6" s="10">
        <v>136</v>
      </c>
      <c r="C6" s="20">
        <v>106.22</v>
      </c>
      <c r="D6" s="10" t="s">
        <v>20</v>
      </c>
      <c r="E6" s="2">
        <f t="shared" ref="E6:E13" si="0">69.73+54.29</f>
        <v>124.02000000000001</v>
      </c>
      <c r="F6" s="16">
        <f t="shared" ref="F6:F20" si="1">E6+C6</f>
        <v>230.24</v>
      </c>
      <c r="G6" s="16"/>
      <c r="H6" s="16"/>
      <c r="I6" s="16"/>
      <c r="J6" s="8">
        <f t="shared" ref="J6:J73" si="2">IF(ISNUMBER(A6),A6,"")</f>
        <v>22212</v>
      </c>
      <c r="K6" s="11">
        <v>138</v>
      </c>
      <c r="L6" s="22">
        <v>135.36000000000001</v>
      </c>
      <c r="M6" s="11" t="s">
        <v>22</v>
      </c>
      <c r="N6" s="4">
        <v>96.22</v>
      </c>
      <c r="O6" s="17">
        <f t="shared" ref="O6:O15" si="3">N6+L6</f>
        <v>231.58</v>
      </c>
      <c r="P6" s="17"/>
      <c r="Q6" s="17"/>
      <c r="R6" s="17"/>
      <c r="S6" s="9">
        <f t="shared" ref="S6:S73" si="4">IF(ISNUMBER(J6),J6,"")</f>
        <v>22212</v>
      </c>
      <c r="T6" s="12">
        <v>140</v>
      </c>
      <c r="U6" s="23">
        <v>109.2</v>
      </c>
      <c r="V6" s="95" t="s">
        <v>24</v>
      </c>
      <c r="X6" s="98">
        <f>$AJ$29+U6</f>
        <v>403.72981568639835</v>
      </c>
      <c r="AE6">
        <v>138</v>
      </c>
      <c r="AF6" s="84">
        <v>21459</v>
      </c>
      <c r="AG6" s="51">
        <v>5571891.6174446493</v>
      </c>
      <c r="AH6" s="51">
        <v>560474.17893508915</v>
      </c>
    </row>
    <row r="7" spans="1:34" x14ac:dyDescent="0.3">
      <c r="A7" s="21">
        <v>23954</v>
      </c>
      <c r="B7" s="10">
        <v>136</v>
      </c>
      <c r="C7" s="20">
        <v>74.760000000000005</v>
      </c>
      <c r="D7" s="10" t="s">
        <v>20</v>
      </c>
      <c r="E7" s="2">
        <f t="shared" si="0"/>
        <v>124.02000000000001</v>
      </c>
      <c r="F7" s="16">
        <f t="shared" si="1"/>
        <v>198.78000000000003</v>
      </c>
      <c r="G7" s="16"/>
      <c r="H7" s="16"/>
      <c r="I7" s="16"/>
      <c r="J7" s="8">
        <f t="shared" si="2"/>
        <v>23954</v>
      </c>
      <c r="K7" s="11">
        <v>138</v>
      </c>
      <c r="L7" s="22">
        <v>111.43</v>
      </c>
      <c r="M7" s="11" t="s">
        <v>22</v>
      </c>
      <c r="N7" s="4">
        <v>96.22</v>
      </c>
      <c r="O7" s="17">
        <f t="shared" si="3"/>
        <v>207.65</v>
      </c>
      <c r="P7" s="17"/>
      <c r="Q7" s="17"/>
      <c r="R7" s="17"/>
      <c r="S7" s="9">
        <f t="shared" si="4"/>
        <v>23954</v>
      </c>
      <c r="T7" s="12">
        <v>140</v>
      </c>
      <c r="U7" s="23">
        <v>72.05</v>
      </c>
      <c r="V7" s="95" t="s">
        <v>24</v>
      </c>
      <c r="X7" s="98">
        <f>$AJ$29+U7</f>
        <v>366.57981568639838</v>
      </c>
      <c r="AE7">
        <v>136</v>
      </c>
      <c r="AF7" s="84">
        <v>21459</v>
      </c>
      <c r="AG7" s="51">
        <v>5571954.6178138107</v>
      </c>
      <c r="AH7" s="51">
        <v>560410.73833420977</v>
      </c>
    </row>
    <row r="8" spans="1:34" x14ac:dyDescent="0.3">
      <c r="A8" s="21">
        <v>25767</v>
      </c>
      <c r="B8" s="10">
        <v>136</v>
      </c>
      <c r="C8" s="20">
        <v>58.17</v>
      </c>
      <c r="D8" s="10" t="s">
        <v>20</v>
      </c>
      <c r="E8" s="2">
        <f t="shared" si="0"/>
        <v>124.02000000000001</v>
      </c>
      <c r="F8" s="16">
        <f t="shared" si="1"/>
        <v>182.19</v>
      </c>
      <c r="G8" s="16"/>
      <c r="H8" s="16"/>
      <c r="I8" s="16"/>
      <c r="J8" s="8">
        <f t="shared" si="2"/>
        <v>25767</v>
      </c>
      <c r="K8" s="11">
        <v>138</v>
      </c>
      <c r="L8" s="22">
        <v>91</v>
      </c>
      <c r="M8" s="11" t="s">
        <v>22</v>
      </c>
      <c r="N8" s="4">
        <v>96.22</v>
      </c>
      <c r="O8" s="17">
        <f t="shared" si="3"/>
        <v>187.22</v>
      </c>
      <c r="P8" s="17"/>
      <c r="Q8" s="17"/>
      <c r="R8" s="17"/>
      <c r="S8" s="9">
        <f t="shared" si="4"/>
        <v>25767</v>
      </c>
      <c r="T8" s="12">
        <v>140</v>
      </c>
      <c r="U8" s="23">
        <v>48.71</v>
      </c>
      <c r="V8" s="95" t="s">
        <v>24</v>
      </c>
      <c r="X8" s="98">
        <f>$AJ$29+U8</f>
        <v>343.23981568639834</v>
      </c>
      <c r="AE8" t="s">
        <v>195</v>
      </c>
      <c r="AF8" s="84">
        <v>38640</v>
      </c>
      <c r="AG8" s="51">
        <v>5571717.6099172793</v>
      </c>
      <c r="AH8" s="51">
        <v>560424.15897359652</v>
      </c>
    </row>
    <row r="9" spans="1:34" x14ac:dyDescent="0.3">
      <c r="A9" s="21">
        <v>27223</v>
      </c>
      <c r="B9" s="10">
        <v>135</v>
      </c>
      <c r="C9" s="20">
        <v>11.8</v>
      </c>
      <c r="D9" s="10" t="s">
        <v>20</v>
      </c>
      <c r="E9" s="2">
        <f>69.73+54.29+37.1</f>
        <v>161.12</v>
      </c>
      <c r="F9" s="16">
        <f t="shared" si="1"/>
        <v>172.92000000000002</v>
      </c>
      <c r="G9" s="16"/>
      <c r="H9" s="16"/>
      <c r="I9" s="16"/>
      <c r="J9" s="8">
        <f t="shared" si="2"/>
        <v>27223</v>
      </c>
      <c r="K9" s="11">
        <v>137</v>
      </c>
      <c r="L9" s="22">
        <v>30.7</v>
      </c>
      <c r="M9" s="11" t="s">
        <v>22</v>
      </c>
      <c r="N9" s="4">
        <f>122.82+20.26</f>
        <v>143.07999999999998</v>
      </c>
      <c r="O9" s="17">
        <f t="shared" si="3"/>
        <v>173.77999999999997</v>
      </c>
      <c r="P9" s="17"/>
      <c r="Q9" s="17"/>
      <c r="R9" s="17"/>
      <c r="S9" s="9">
        <f t="shared" si="4"/>
        <v>27223</v>
      </c>
      <c r="T9" s="12">
        <v>139</v>
      </c>
      <c r="U9" s="23">
        <v>7.1</v>
      </c>
      <c r="V9" s="95" t="s">
        <v>24</v>
      </c>
      <c r="X9" s="98">
        <f>AJ28+U9</f>
        <v>326.63395009159166</v>
      </c>
      <c r="AE9" t="s">
        <v>24</v>
      </c>
      <c r="AF9" s="84">
        <v>38640</v>
      </c>
      <c r="AG9" s="51">
        <v>5571596.8058980508</v>
      </c>
      <c r="AH9" s="51">
        <v>560545.37265958195</v>
      </c>
    </row>
    <row r="10" spans="1:34" x14ac:dyDescent="0.3">
      <c r="A10" s="21">
        <v>29552</v>
      </c>
      <c r="B10" s="10">
        <v>135</v>
      </c>
      <c r="C10" s="20">
        <v>1.65</v>
      </c>
      <c r="D10" s="10" t="s">
        <v>20</v>
      </c>
      <c r="E10" s="2">
        <f>69.73+54.29+37.1</f>
        <v>161.12</v>
      </c>
      <c r="F10" s="16">
        <f t="shared" si="1"/>
        <v>162.77000000000001</v>
      </c>
      <c r="G10" s="16"/>
      <c r="H10" s="16"/>
      <c r="I10" s="16"/>
      <c r="J10" s="8">
        <f t="shared" si="2"/>
        <v>29552</v>
      </c>
      <c r="K10" s="11">
        <v>137</v>
      </c>
      <c r="L10" s="22">
        <v>20.45</v>
      </c>
      <c r="M10" s="11" t="s">
        <v>22</v>
      </c>
      <c r="N10" s="4">
        <f>122.82+20.26</f>
        <v>143.07999999999998</v>
      </c>
      <c r="O10" s="17">
        <f t="shared" si="3"/>
        <v>163.52999999999997</v>
      </c>
      <c r="P10" s="17"/>
      <c r="Q10" s="17"/>
      <c r="R10" s="17"/>
      <c r="S10" s="9">
        <f t="shared" si="4"/>
        <v>29552</v>
      </c>
      <c r="T10" s="12">
        <v>140</v>
      </c>
      <c r="U10" s="23">
        <v>19.45</v>
      </c>
      <c r="V10" s="95" t="s">
        <v>24</v>
      </c>
      <c r="X10" s="98">
        <f>$AJ$29+U10</f>
        <v>313.97981568639835</v>
      </c>
      <c r="AE10" t="s">
        <v>196</v>
      </c>
      <c r="AF10" s="84">
        <v>38640</v>
      </c>
      <c r="AG10" s="51">
        <v>5571735.2957277587</v>
      </c>
      <c r="AH10" s="51">
        <v>560565.84951486276</v>
      </c>
    </row>
    <row r="11" spans="1:34" x14ac:dyDescent="0.3">
      <c r="A11" s="21">
        <v>31711</v>
      </c>
      <c r="B11" s="10">
        <v>136</v>
      </c>
      <c r="C11" s="20">
        <v>24.5</v>
      </c>
      <c r="D11" s="10" t="s">
        <v>20</v>
      </c>
      <c r="E11" s="2">
        <f t="shared" si="0"/>
        <v>124.02000000000001</v>
      </c>
      <c r="F11" s="16">
        <f t="shared" si="1"/>
        <v>148.52000000000001</v>
      </c>
      <c r="G11" s="16"/>
      <c r="H11" s="16"/>
      <c r="I11" s="16"/>
      <c r="J11" s="8">
        <f t="shared" si="2"/>
        <v>31711</v>
      </c>
      <c r="K11" s="11">
        <v>138</v>
      </c>
      <c r="L11" s="22">
        <v>52.15</v>
      </c>
      <c r="M11" s="11" t="s">
        <v>22</v>
      </c>
      <c r="N11" s="4">
        <v>96.22</v>
      </c>
      <c r="O11" s="17">
        <f t="shared" si="3"/>
        <v>148.37</v>
      </c>
      <c r="P11" s="17"/>
      <c r="Q11" s="17"/>
      <c r="R11" s="17"/>
      <c r="S11" s="9">
        <f t="shared" si="4"/>
        <v>31711</v>
      </c>
      <c r="T11" s="12" t="s">
        <v>25</v>
      </c>
      <c r="U11" s="23">
        <v>19.43</v>
      </c>
      <c r="V11" s="95" t="s">
        <v>24</v>
      </c>
      <c r="X11" s="98">
        <f>AJ30+U11</f>
        <v>291.95568095468417</v>
      </c>
      <c r="AE11" s="94" t="s">
        <v>197</v>
      </c>
      <c r="AF11" s="84">
        <v>38640</v>
      </c>
      <c r="AG11" s="51">
        <v>5571736.557832784</v>
      </c>
      <c r="AH11" s="51">
        <v>560366.39726227662</v>
      </c>
    </row>
    <row r="12" spans="1:34" x14ac:dyDescent="0.3">
      <c r="A12" s="21">
        <v>33529</v>
      </c>
      <c r="B12" s="10">
        <v>136</v>
      </c>
      <c r="C12" s="20">
        <v>6.38</v>
      </c>
      <c r="D12" s="10" t="s">
        <v>20</v>
      </c>
      <c r="E12" s="2">
        <f t="shared" si="0"/>
        <v>124.02000000000001</v>
      </c>
      <c r="F12" s="16">
        <f t="shared" si="1"/>
        <v>130.4</v>
      </c>
      <c r="G12" s="16"/>
      <c r="H12" s="16"/>
      <c r="I12" s="16"/>
      <c r="J12" s="8">
        <f t="shared" si="2"/>
        <v>33529</v>
      </c>
      <c r="K12" s="11" t="s">
        <v>23</v>
      </c>
      <c r="L12" s="22">
        <v>5.63</v>
      </c>
      <c r="M12" s="11" t="s">
        <v>22</v>
      </c>
      <c r="N12" s="4">
        <f>96.22+26.6</f>
        <v>122.82</v>
      </c>
      <c r="O12" s="17">
        <f t="shared" si="3"/>
        <v>128.44999999999999</v>
      </c>
      <c r="P12" s="17"/>
      <c r="Q12" s="17"/>
      <c r="R12" s="17"/>
      <c r="S12" s="9">
        <f t="shared" si="4"/>
        <v>33529</v>
      </c>
      <c r="T12" s="12" t="s">
        <v>26</v>
      </c>
      <c r="U12" s="23">
        <v>25.34</v>
      </c>
      <c r="V12" s="95" t="s">
        <v>24</v>
      </c>
      <c r="X12" s="98">
        <f>AJ31+U12</f>
        <v>270.29212239798659</v>
      </c>
      <c r="AE12" t="s">
        <v>198</v>
      </c>
      <c r="AF12" s="84">
        <v>34628</v>
      </c>
      <c r="AG12" s="51">
        <v>5571901.3394964933</v>
      </c>
      <c r="AH12" s="51">
        <v>560399.90614321409</v>
      </c>
    </row>
    <row r="13" spans="1:34" x14ac:dyDescent="0.3">
      <c r="A13" s="21">
        <v>34628</v>
      </c>
      <c r="B13" s="10">
        <v>136</v>
      </c>
      <c r="C13" s="20">
        <v>4.42</v>
      </c>
      <c r="D13" s="10" t="s">
        <v>20</v>
      </c>
      <c r="E13" s="2">
        <f t="shared" si="0"/>
        <v>124.02000000000001</v>
      </c>
      <c r="F13" s="16">
        <f t="shared" si="1"/>
        <v>128.44</v>
      </c>
      <c r="G13" s="16"/>
      <c r="H13" s="16"/>
      <c r="I13" s="16"/>
      <c r="J13" s="8">
        <f t="shared" si="2"/>
        <v>34628</v>
      </c>
      <c r="K13" s="11" t="s">
        <v>23</v>
      </c>
      <c r="L13" s="22">
        <v>5</v>
      </c>
      <c r="M13" s="11" t="s">
        <v>22</v>
      </c>
      <c r="N13" s="4">
        <f>96.22+26.6</f>
        <v>122.82</v>
      </c>
      <c r="O13" s="17">
        <f t="shared" si="3"/>
        <v>127.82</v>
      </c>
      <c r="P13" s="17"/>
      <c r="Q13" s="17"/>
      <c r="R13" s="17"/>
      <c r="S13" s="9">
        <f t="shared" si="4"/>
        <v>34628</v>
      </c>
      <c r="T13" s="12" t="s">
        <v>27</v>
      </c>
      <c r="U13" s="23">
        <v>9.59</v>
      </c>
      <c r="V13" s="95" t="s">
        <v>24</v>
      </c>
      <c r="X13" s="98">
        <f>AJ32+U13</f>
        <v>248.59204690653323</v>
      </c>
      <c r="AE13">
        <v>137</v>
      </c>
      <c r="AF13" s="84">
        <v>21459</v>
      </c>
      <c r="AG13" s="51">
        <v>5571936.8137067873</v>
      </c>
      <c r="AH13" s="51">
        <v>560487.13898082974</v>
      </c>
    </row>
    <row r="14" spans="1:34" x14ac:dyDescent="0.3">
      <c r="A14" s="21">
        <v>36720</v>
      </c>
      <c r="B14" s="10" t="s">
        <v>20</v>
      </c>
      <c r="C14" s="20">
        <v>105.42</v>
      </c>
      <c r="D14" s="10" t="s">
        <v>20</v>
      </c>
      <c r="E14" s="2">
        <v>0</v>
      </c>
      <c r="F14" s="16">
        <f t="shared" si="1"/>
        <v>105.42</v>
      </c>
      <c r="G14" s="16"/>
      <c r="H14" s="16"/>
      <c r="I14" s="16"/>
      <c r="J14" s="8">
        <f t="shared" si="2"/>
        <v>36720</v>
      </c>
      <c r="K14" s="11" t="s">
        <v>22</v>
      </c>
      <c r="L14" s="22">
        <v>91.26</v>
      </c>
      <c r="M14" s="11" t="s">
        <v>22</v>
      </c>
      <c r="N14" s="4">
        <v>0</v>
      </c>
      <c r="O14" s="17">
        <v>91.26</v>
      </c>
      <c r="P14" s="17"/>
      <c r="Q14" s="17"/>
      <c r="R14" s="17"/>
      <c r="S14" s="9">
        <f t="shared" si="4"/>
        <v>36720</v>
      </c>
      <c r="T14" s="12">
        <v>140</v>
      </c>
      <c r="U14" s="23">
        <v>-77.790000000000006</v>
      </c>
      <c r="V14" s="95" t="s">
        <v>24</v>
      </c>
      <c r="X14" s="98">
        <f>AJ29+U14</f>
        <v>216.73981568639834</v>
      </c>
      <c r="AE14">
        <v>135</v>
      </c>
      <c r="AF14" s="84">
        <v>21459</v>
      </c>
      <c r="AG14" s="51">
        <v>5571990.9734075386</v>
      </c>
      <c r="AH14" s="51">
        <v>560418.17592744261</v>
      </c>
    </row>
    <row r="15" spans="1:34" x14ac:dyDescent="0.3">
      <c r="A15" s="21">
        <v>37087</v>
      </c>
      <c r="B15" s="10" t="s">
        <v>95</v>
      </c>
      <c r="C15" s="20">
        <v>30.74</v>
      </c>
      <c r="D15" s="10" t="s">
        <v>20</v>
      </c>
      <c r="E15" s="2">
        <v>69.73</v>
      </c>
      <c r="F15" s="16">
        <f t="shared" si="1"/>
        <v>100.47</v>
      </c>
      <c r="G15" s="16"/>
      <c r="H15" s="16"/>
      <c r="I15" s="16"/>
      <c r="J15" s="8">
        <f t="shared" si="2"/>
        <v>37087</v>
      </c>
      <c r="K15" s="11" t="s">
        <v>94</v>
      </c>
      <c r="L15" s="22">
        <v>41.41</v>
      </c>
      <c r="M15" s="11" t="s">
        <v>22</v>
      </c>
      <c r="N15" s="22">
        <v>43.29</v>
      </c>
      <c r="O15" s="17">
        <f t="shared" si="3"/>
        <v>84.699999999999989</v>
      </c>
      <c r="P15" s="17"/>
      <c r="Q15" s="17"/>
      <c r="R15" s="17"/>
      <c r="S15" s="9">
        <f t="shared" si="4"/>
        <v>37087</v>
      </c>
      <c r="T15" s="12" t="s">
        <v>96</v>
      </c>
      <c r="U15" s="23">
        <v>32.5</v>
      </c>
      <c r="V15" s="95" t="s">
        <v>24</v>
      </c>
      <c r="X15" s="98">
        <f>AJ33+U15</f>
        <v>271.50204690653322</v>
      </c>
      <c r="Y15" s="99" t="s">
        <v>220</v>
      </c>
      <c r="AE15">
        <v>139</v>
      </c>
      <c r="AF15" s="84">
        <v>21459</v>
      </c>
      <c r="AG15" s="51">
        <v>5571913.2024339326</v>
      </c>
      <c r="AH15" s="51">
        <v>560590.04006764572</v>
      </c>
    </row>
    <row r="16" spans="1:34" x14ac:dyDescent="0.3">
      <c r="A16" s="21">
        <v>38555</v>
      </c>
      <c r="B16" s="10" t="s">
        <v>21</v>
      </c>
      <c r="C16" s="20">
        <v>12.46</v>
      </c>
      <c r="D16" s="10" t="s">
        <v>20</v>
      </c>
      <c r="E16" s="2">
        <v>69.73</v>
      </c>
      <c r="F16" s="16">
        <f t="shared" si="1"/>
        <v>82.19</v>
      </c>
      <c r="G16" s="16"/>
      <c r="H16" s="16"/>
      <c r="I16" s="16"/>
      <c r="J16" s="8">
        <f t="shared" si="2"/>
        <v>38555</v>
      </c>
      <c r="K16" s="11" t="s">
        <v>22</v>
      </c>
      <c r="L16" s="22">
        <v>53.9</v>
      </c>
      <c r="M16" s="11" t="s">
        <v>22</v>
      </c>
      <c r="N16" s="4">
        <v>0</v>
      </c>
      <c r="O16" s="17">
        <v>53.9</v>
      </c>
      <c r="P16" s="17"/>
      <c r="Q16" s="17"/>
      <c r="R16" s="17"/>
      <c r="S16" s="9">
        <f t="shared" si="4"/>
        <v>38555</v>
      </c>
      <c r="U16" s="23"/>
      <c r="V16" s="95" t="s">
        <v>24</v>
      </c>
      <c r="X16" s="99"/>
      <c r="AE16">
        <v>140</v>
      </c>
      <c r="AF16" s="84">
        <v>21459</v>
      </c>
      <c r="AG16" s="51">
        <v>5571888.4697673358</v>
      </c>
      <c r="AH16" s="51">
        <v>560586.36045876599</v>
      </c>
    </row>
    <row r="17" spans="1:36" x14ac:dyDescent="0.3">
      <c r="A17" s="21">
        <v>38640</v>
      </c>
      <c r="B17" s="10" t="s">
        <v>21</v>
      </c>
      <c r="C17" s="20">
        <v>12.42</v>
      </c>
      <c r="D17" s="10" t="s">
        <v>20</v>
      </c>
      <c r="E17" s="2">
        <v>69.73</v>
      </c>
      <c r="F17" s="16">
        <f t="shared" si="1"/>
        <v>82.15</v>
      </c>
      <c r="G17" s="16"/>
      <c r="H17" s="16"/>
      <c r="I17" s="16"/>
      <c r="J17" s="8">
        <f t="shared" si="2"/>
        <v>38640</v>
      </c>
      <c r="K17" s="11" t="s">
        <v>22</v>
      </c>
      <c r="L17" s="22">
        <v>52.25</v>
      </c>
      <c r="M17" s="11" t="s">
        <v>22</v>
      </c>
      <c r="N17" s="4">
        <v>0</v>
      </c>
      <c r="O17" s="17">
        <v>52.25</v>
      </c>
      <c r="P17" s="17"/>
      <c r="Q17" s="17"/>
      <c r="R17" s="17"/>
      <c r="S17" s="9">
        <f t="shared" si="4"/>
        <v>38640</v>
      </c>
      <c r="T17" s="12" t="s">
        <v>97</v>
      </c>
      <c r="U17" s="23">
        <v>40.450000000000003</v>
      </c>
      <c r="V17" s="95" t="s">
        <v>24</v>
      </c>
      <c r="X17" s="98">
        <f>AJ34+U17</f>
        <v>180.44548040816096</v>
      </c>
      <c r="AB17" s="29"/>
      <c r="AE17" t="s">
        <v>199</v>
      </c>
      <c r="AF17" s="84">
        <v>34628</v>
      </c>
      <c r="AG17" s="51">
        <v>5571833.544302688</v>
      </c>
      <c r="AH17" s="51">
        <v>560578.18890853494</v>
      </c>
    </row>
    <row r="18" spans="1:36" x14ac:dyDescent="0.3">
      <c r="A18" s="21">
        <v>38920</v>
      </c>
      <c r="B18" s="10" t="s">
        <v>21</v>
      </c>
      <c r="C18" s="20">
        <v>8.6</v>
      </c>
      <c r="D18" s="10" t="s">
        <v>20</v>
      </c>
      <c r="E18" s="2">
        <v>69.73</v>
      </c>
      <c r="F18" s="16">
        <f t="shared" si="1"/>
        <v>78.33</v>
      </c>
      <c r="G18" s="16"/>
      <c r="H18" s="16"/>
      <c r="I18" s="16"/>
      <c r="J18" s="8">
        <f t="shared" si="2"/>
        <v>38920</v>
      </c>
      <c r="K18" s="11" t="s">
        <v>22</v>
      </c>
      <c r="L18" s="22">
        <v>48.55</v>
      </c>
      <c r="M18" s="11" t="s">
        <v>22</v>
      </c>
      <c r="N18" s="22">
        <v>0</v>
      </c>
      <c r="O18" s="17">
        <f>N18+L18</f>
        <v>48.55</v>
      </c>
      <c r="P18" s="17"/>
      <c r="Q18" s="17"/>
      <c r="R18" s="17"/>
      <c r="S18" s="9">
        <f t="shared" si="4"/>
        <v>38920</v>
      </c>
      <c r="T18" s="27" t="s">
        <v>28</v>
      </c>
      <c r="U18" s="23">
        <v>35.85</v>
      </c>
      <c r="V18" s="12" t="s">
        <v>24</v>
      </c>
      <c r="W18" s="6">
        <v>139.99</v>
      </c>
      <c r="X18" s="34">
        <f>U18+W18</f>
        <v>175.84</v>
      </c>
      <c r="Y18" s="34"/>
      <c r="Z18" s="34"/>
      <c r="AA18" s="34"/>
      <c r="AE18" t="s">
        <v>200</v>
      </c>
      <c r="AF18" s="84">
        <v>34628</v>
      </c>
      <c r="AG18" s="51">
        <v>5571737.4816135708</v>
      </c>
      <c r="AH18" s="51">
        <v>560563.89715707744</v>
      </c>
    </row>
    <row r="19" spans="1:36" x14ac:dyDescent="0.3">
      <c r="A19" s="21">
        <v>38990</v>
      </c>
      <c r="B19" s="10" t="s">
        <v>21</v>
      </c>
      <c r="C19" s="20">
        <v>8.5299999999999994</v>
      </c>
      <c r="D19" s="10" t="s">
        <v>20</v>
      </c>
      <c r="E19" s="2">
        <v>69.73</v>
      </c>
      <c r="F19" s="16">
        <f t="shared" si="1"/>
        <v>78.260000000000005</v>
      </c>
      <c r="G19" s="16"/>
      <c r="H19" s="16"/>
      <c r="I19" s="16"/>
      <c r="J19" s="8">
        <f t="shared" si="2"/>
        <v>38990</v>
      </c>
      <c r="K19" s="11" t="s">
        <v>22</v>
      </c>
      <c r="L19" s="22">
        <v>48.19</v>
      </c>
      <c r="M19" s="11" t="s">
        <v>22</v>
      </c>
      <c r="N19" s="22">
        <v>48.19</v>
      </c>
      <c r="O19" s="17">
        <v>48.19</v>
      </c>
      <c r="P19" s="17"/>
      <c r="Q19" s="17"/>
      <c r="R19" s="17"/>
      <c r="S19" s="9">
        <f t="shared" si="4"/>
        <v>38990</v>
      </c>
      <c r="T19" s="12" t="s">
        <v>28</v>
      </c>
      <c r="U19" s="23">
        <v>35.799999999999997</v>
      </c>
      <c r="V19" s="12" t="s">
        <v>24</v>
      </c>
      <c r="W19" s="6">
        <v>139.99</v>
      </c>
      <c r="X19" s="34">
        <f t="shared" ref="X19:X28" si="5">U19+W19</f>
        <v>175.79000000000002</v>
      </c>
      <c r="Y19" s="34"/>
      <c r="Z19" s="34"/>
      <c r="AA19" s="34"/>
      <c r="AE19" t="s">
        <v>201</v>
      </c>
      <c r="AF19" s="84">
        <v>40800</v>
      </c>
      <c r="AG19" s="51">
        <v>5571696.406806902</v>
      </c>
      <c r="AH19" s="51">
        <v>560560.11122812936</v>
      </c>
    </row>
    <row r="20" spans="1:36" x14ac:dyDescent="0.3">
      <c r="A20" s="21">
        <v>40014</v>
      </c>
      <c r="B20" s="10" t="s">
        <v>73</v>
      </c>
      <c r="C20" s="2">
        <v>57.79</v>
      </c>
      <c r="D20" s="10" t="s">
        <v>73</v>
      </c>
      <c r="E20" s="2">
        <v>0</v>
      </c>
      <c r="F20" s="16">
        <f t="shared" si="1"/>
        <v>57.79</v>
      </c>
      <c r="G20" s="16"/>
      <c r="H20" s="16"/>
      <c r="I20" s="16"/>
      <c r="J20" s="8">
        <f t="shared" si="2"/>
        <v>40014</v>
      </c>
      <c r="K20" s="11" t="s">
        <v>74</v>
      </c>
      <c r="L20" s="22">
        <v>32.200000000000003</v>
      </c>
      <c r="M20" s="11" t="s">
        <v>74</v>
      </c>
      <c r="N20" s="4">
        <v>0</v>
      </c>
      <c r="O20" s="17">
        <v>32.200000000000003</v>
      </c>
      <c r="P20" s="17"/>
      <c r="Q20" s="17"/>
      <c r="R20" s="17"/>
      <c r="S20" s="9">
        <f t="shared" si="4"/>
        <v>40014</v>
      </c>
      <c r="T20" s="12" t="s">
        <v>28</v>
      </c>
      <c r="U20" s="23">
        <v>6.91</v>
      </c>
      <c r="V20" s="12" t="s">
        <v>24</v>
      </c>
      <c r="W20" s="6">
        <v>139.99</v>
      </c>
      <c r="X20" s="34">
        <f t="shared" si="5"/>
        <v>146.9</v>
      </c>
      <c r="Y20" s="34"/>
      <c r="Z20" s="34"/>
      <c r="AA20" s="34"/>
      <c r="AE20" t="s">
        <v>202</v>
      </c>
      <c r="AF20">
        <v>1958</v>
      </c>
      <c r="AG20" s="51">
        <v>5571901.4131068233</v>
      </c>
      <c r="AH20" s="51">
        <v>560399.77615175396</v>
      </c>
    </row>
    <row r="21" spans="1:36" x14ac:dyDescent="0.3">
      <c r="A21" s="21">
        <v>40383</v>
      </c>
      <c r="B21" s="28" t="s">
        <v>119</v>
      </c>
      <c r="C21" s="2">
        <v>65.33</v>
      </c>
      <c r="D21" s="28" t="s">
        <v>119</v>
      </c>
      <c r="E21" s="2">
        <v>0</v>
      </c>
      <c r="F21" s="1">
        <v>65.33</v>
      </c>
      <c r="G21" s="16"/>
      <c r="J21" s="8">
        <f t="shared" si="2"/>
        <v>40383</v>
      </c>
      <c r="K21" s="11" t="s">
        <v>74</v>
      </c>
      <c r="L21" s="22">
        <v>29.91</v>
      </c>
      <c r="M21" s="11" t="s">
        <v>74</v>
      </c>
      <c r="N21" s="4">
        <v>0</v>
      </c>
      <c r="O21" s="32">
        <v>29.91</v>
      </c>
      <c r="P21" s="32"/>
      <c r="Q21" s="32"/>
      <c r="R21" s="32"/>
      <c r="S21" s="9">
        <f t="shared" si="4"/>
        <v>40383</v>
      </c>
      <c r="T21" s="31" t="s">
        <v>28</v>
      </c>
      <c r="U21" s="6">
        <v>4.6399999999999997</v>
      </c>
      <c r="V21" s="12" t="s">
        <v>24</v>
      </c>
      <c r="W21" s="6">
        <v>139.99</v>
      </c>
      <c r="X21" s="34">
        <f t="shared" si="5"/>
        <v>144.63</v>
      </c>
      <c r="Y21" s="34"/>
      <c r="Z21" s="34"/>
      <c r="AA21" s="34"/>
      <c r="AE21" t="s">
        <v>203</v>
      </c>
      <c r="AF21">
        <v>1958</v>
      </c>
      <c r="AG21" s="51">
        <v>5571840.9917808836</v>
      </c>
      <c r="AH21" s="51">
        <v>560564.73233138747</v>
      </c>
    </row>
    <row r="22" spans="1:36" x14ac:dyDescent="0.3">
      <c r="A22" s="21">
        <v>40800</v>
      </c>
      <c r="B22" s="10" t="s">
        <v>122</v>
      </c>
      <c r="C22" s="2">
        <v>65.489999999999995</v>
      </c>
      <c r="D22" s="10" t="s">
        <v>122</v>
      </c>
      <c r="E22" s="2">
        <v>0</v>
      </c>
      <c r="F22" s="1">
        <v>65.489999999999995</v>
      </c>
      <c r="G22" s="16"/>
      <c r="J22" s="8">
        <f t="shared" si="2"/>
        <v>40800</v>
      </c>
      <c r="K22" s="11" t="s">
        <v>74</v>
      </c>
      <c r="L22" s="4">
        <v>29.02</v>
      </c>
      <c r="M22" s="11" t="s">
        <v>74</v>
      </c>
      <c r="N22" s="4">
        <v>0</v>
      </c>
      <c r="O22" s="32">
        <v>29.02</v>
      </c>
      <c r="P22" s="32"/>
      <c r="Q22" s="32"/>
      <c r="R22" s="32"/>
      <c r="S22" s="9">
        <f t="shared" si="4"/>
        <v>40800</v>
      </c>
      <c r="T22" s="31" t="s">
        <v>28</v>
      </c>
      <c r="U22" s="23">
        <v>4</v>
      </c>
      <c r="V22" s="12" t="s">
        <v>24</v>
      </c>
      <c r="W22" s="6">
        <v>139.99</v>
      </c>
      <c r="X22" s="34">
        <f t="shared" si="5"/>
        <v>143.99</v>
      </c>
      <c r="Y22" s="34"/>
      <c r="Z22" s="34"/>
      <c r="AA22" s="34"/>
      <c r="AE22" t="s">
        <v>204</v>
      </c>
      <c r="AF22">
        <v>1958</v>
      </c>
      <c r="AG22" s="51">
        <v>5571867.5118874088</v>
      </c>
      <c r="AH22" s="51">
        <v>560576.81330374698</v>
      </c>
    </row>
    <row r="23" spans="1:36" x14ac:dyDescent="0.3">
      <c r="A23" s="21">
        <v>41198</v>
      </c>
      <c r="B23" s="10" t="s">
        <v>122</v>
      </c>
      <c r="C23" s="2">
        <v>64.52</v>
      </c>
      <c r="D23" s="10" t="s">
        <v>122</v>
      </c>
      <c r="E23" s="2">
        <v>0</v>
      </c>
      <c r="F23" s="16">
        <f t="shared" ref="F23:F28" si="6">E23+C23</f>
        <v>64.52</v>
      </c>
      <c r="G23" s="16"/>
      <c r="H23" s="16"/>
      <c r="I23" s="16"/>
      <c r="J23" s="8">
        <f t="shared" si="2"/>
        <v>41198</v>
      </c>
      <c r="K23" s="11" t="s">
        <v>74</v>
      </c>
      <c r="L23" s="22">
        <v>27.9</v>
      </c>
      <c r="M23" s="11" t="s">
        <v>74</v>
      </c>
      <c r="N23" s="4">
        <v>0</v>
      </c>
      <c r="O23" s="17">
        <f>N23+L23</f>
        <v>27.9</v>
      </c>
      <c r="P23" s="17"/>
      <c r="Q23" s="17"/>
      <c r="R23" s="17"/>
      <c r="S23" s="9">
        <f t="shared" si="4"/>
        <v>41198</v>
      </c>
      <c r="T23" s="31" t="s">
        <v>28</v>
      </c>
      <c r="U23" s="6">
        <v>3.26</v>
      </c>
      <c r="V23" s="12" t="s">
        <v>24</v>
      </c>
      <c r="W23" s="6">
        <v>139.99</v>
      </c>
      <c r="X23" s="34">
        <f t="shared" si="5"/>
        <v>143.25</v>
      </c>
      <c r="Y23" s="34"/>
      <c r="Z23" s="34"/>
      <c r="AA23" s="34"/>
    </row>
    <row r="24" spans="1:36" x14ac:dyDescent="0.3">
      <c r="A24" s="21">
        <v>41464</v>
      </c>
      <c r="B24" s="10" t="s">
        <v>122</v>
      </c>
      <c r="C24" s="2">
        <v>62.49</v>
      </c>
      <c r="D24" s="10" t="s">
        <v>122</v>
      </c>
      <c r="E24" s="2">
        <v>0</v>
      </c>
      <c r="F24" s="16">
        <f t="shared" si="6"/>
        <v>62.49</v>
      </c>
      <c r="G24" s="16"/>
      <c r="H24" s="16"/>
      <c r="I24" s="16"/>
      <c r="J24" s="8">
        <f t="shared" si="2"/>
        <v>41464</v>
      </c>
      <c r="K24" s="11" t="s">
        <v>74</v>
      </c>
      <c r="L24" s="4">
        <v>26.69</v>
      </c>
      <c r="M24" s="11" t="s">
        <v>74</v>
      </c>
      <c r="N24" s="4">
        <v>0</v>
      </c>
      <c r="O24" s="17">
        <f>N24+L24</f>
        <v>26.69</v>
      </c>
      <c r="P24" s="17"/>
      <c r="Q24" s="17"/>
      <c r="R24" s="17"/>
      <c r="S24" s="9">
        <f t="shared" si="4"/>
        <v>41464</v>
      </c>
      <c r="T24" s="12" t="s">
        <v>24</v>
      </c>
      <c r="U24" s="6">
        <v>137.19999999999999</v>
      </c>
      <c r="V24" s="12" t="s">
        <v>24</v>
      </c>
      <c r="W24" s="6">
        <v>0</v>
      </c>
      <c r="X24" s="34">
        <f t="shared" si="5"/>
        <v>137.19999999999999</v>
      </c>
      <c r="Y24" s="34"/>
      <c r="Z24" s="34"/>
      <c r="AA24" s="34"/>
    </row>
    <row r="25" spans="1:36" x14ac:dyDescent="0.3">
      <c r="A25" s="21">
        <v>42515</v>
      </c>
      <c r="B25" s="10" t="s">
        <v>122</v>
      </c>
      <c r="C25" s="20">
        <v>53.2</v>
      </c>
      <c r="D25" s="10" t="s">
        <v>122</v>
      </c>
      <c r="E25" s="2">
        <v>0</v>
      </c>
      <c r="F25" s="16">
        <f t="shared" si="6"/>
        <v>53.2</v>
      </c>
      <c r="G25" s="16"/>
      <c r="H25" s="16"/>
      <c r="I25" s="16"/>
      <c r="J25" s="8">
        <f t="shared" si="2"/>
        <v>42515</v>
      </c>
      <c r="K25" s="11" t="s">
        <v>74</v>
      </c>
      <c r="L25" s="4">
        <v>18.54</v>
      </c>
      <c r="M25" s="11" t="s">
        <v>74</v>
      </c>
      <c r="N25" s="4">
        <v>0</v>
      </c>
      <c r="O25" s="17">
        <f>N25+L25</f>
        <v>18.54</v>
      </c>
      <c r="P25" s="17"/>
      <c r="Q25" s="17"/>
      <c r="R25" s="17"/>
      <c r="S25" s="9">
        <f t="shared" si="4"/>
        <v>42515</v>
      </c>
      <c r="T25" s="12" t="s">
        <v>24</v>
      </c>
      <c r="U25" s="6">
        <v>125.15</v>
      </c>
      <c r="V25" s="12" t="s">
        <v>24</v>
      </c>
      <c r="W25" s="6">
        <v>0</v>
      </c>
      <c r="X25" s="33">
        <f t="shared" si="5"/>
        <v>125.15</v>
      </c>
      <c r="Y25" s="33"/>
      <c r="Z25" s="33"/>
      <c r="AA25" s="33"/>
      <c r="AE25" s="81" t="s">
        <v>207</v>
      </c>
    </row>
    <row r="26" spans="1:36" x14ac:dyDescent="0.3">
      <c r="A26" s="7">
        <v>43691</v>
      </c>
      <c r="B26" s="10" t="s">
        <v>122</v>
      </c>
      <c r="C26" s="20">
        <v>45.8</v>
      </c>
      <c r="D26" s="10" t="s">
        <v>122</v>
      </c>
      <c r="E26" s="2">
        <v>0</v>
      </c>
      <c r="F26" s="16">
        <f t="shared" si="6"/>
        <v>45.8</v>
      </c>
      <c r="G26" s="16"/>
      <c r="H26" s="16"/>
      <c r="I26" s="16"/>
      <c r="J26" s="8">
        <f t="shared" si="2"/>
        <v>43691</v>
      </c>
      <c r="K26" s="11" t="s">
        <v>74</v>
      </c>
      <c r="L26" s="4">
        <v>14.95</v>
      </c>
      <c r="M26" s="11" t="s">
        <v>74</v>
      </c>
      <c r="N26" s="4">
        <v>0</v>
      </c>
      <c r="O26" s="17">
        <f>N26+L26</f>
        <v>14.95</v>
      </c>
      <c r="P26" s="17"/>
      <c r="Q26" s="17"/>
      <c r="R26" s="17"/>
      <c r="S26" s="9">
        <f t="shared" si="4"/>
        <v>43691</v>
      </c>
      <c r="T26" s="12" t="s">
        <v>24</v>
      </c>
      <c r="U26" s="23">
        <v>121.8</v>
      </c>
      <c r="V26" s="12" t="s">
        <v>24</v>
      </c>
      <c r="W26" s="6">
        <v>0</v>
      </c>
      <c r="X26" s="34">
        <f t="shared" si="5"/>
        <v>121.8</v>
      </c>
      <c r="Y26" s="34"/>
      <c r="Z26" s="34"/>
      <c r="AA26" s="34"/>
      <c r="AE26" s="81"/>
      <c r="AF26" s="168" t="s">
        <v>24</v>
      </c>
      <c r="AG26" s="169"/>
      <c r="AH26" s="168" t="s">
        <v>216</v>
      </c>
      <c r="AI26" s="169"/>
      <c r="AJ26" s="29" t="s">
        <v>217</v>
      </c>
    </row>
    <row r="27" spans="1:36" x14ac:dyDescent="0.3">
      <c r="A27" s="67">
        <v>44384</v>
      </c>
      <c r="B27" s="10" t="s">
        <v>122</v>
      </c>
      <c r="C27" s="159">
        <v>29</v>
      </c>
      <c r="D27" s="10" t="s">
        <v>122</v>
      </c>
      <c r="E27" s="2">
        <v>0</v>
      </c>
      <c r="F27" s="160">
        <f t="shared" si="6"/>
        <v>29</v>
      </c>
      <c r="J27" s="8">
        <f t="shared" si="2"/>
        <v>44384</v>
      </c>
      <c r="K27" s="11" t="s">
        <v>74</v>
      </c>
      <c r="L27" s="4">
        <v>92.57</v>
      </c>
      <c r="M27" s="30" t="s">
        <v>242</v>
      </c>
      <c r="N27" s="4">
        <v>-84.89</v>
      </c>
      <c r="O27" s="32">
        <f>N27+L27</f>
        <v>7.6799999999999926</v>
      </c>
      <c r="S27" s="9">
        <f t="shared" si="4"/>
        <v>44384</v>
      </c>
      <c r="T27" s="12" t="s">
        <v>24</v>
      </c>
      <c r="U27" s="6">
        <v>120.32</v>
      </c>
      <c r="V27" s="12" t="s">
        <v>24</v>
      </c>
      <c r="W27" s="6">
        <v>0</v>
      </c>
      <c r="X27" s="34">
        <f t="shared" si="5"/>
        <v>120.32</v>
      </c>
      <c r="Y27" s="34"/>
      <c r="Z27" s="161" t="s">
        <v>243</v>
      </c>
      <c r="AB27" s="29"/>
      <c r="AF27" s="96" t="s">
        <v>214</v>
      </c>
      <c r="AG27" s="96" t="s">
        <v>215</v>
      </c>
      <c r="AH27" s="96" t="s">
        <v>214</v>
      </c>
      <c r="AI27" s="96" t="s">
        <v>215</v>
      </c>
    </row>
    <row r="28" spans="1:36" x14ac:dyDescent="0.3">
      <c r="A28" s="7">
        <v>45202</v>
      </c>
      <c r="B28" s="10" t="s">
        <v>122</v>
      </c>
      <c r="C28" s="2">
        <v>22.07</v>
      </c>
      <c r="D28" s="10" t="s">
        <v>122</v>
      </c>
      <c r="E28" s="2">
        <v>0</v>
      </c>
      <c r="F28" s="16">
        <f t="shared" si="6"/>
        <v>22.07</v>
      </c>
      <c r="J28" s="8">
        <f t="shared" si="2"/>
        <v>45202</v>
      </c>
      <c r="K28" s="30" t="s">
        <v>247</v>
      </c>
      <c r="L28" s="22">
        <v>41.5</v>
      </c>
      <c r="M28" s="30" t="s">
        <v>242</v>
      </c>
      <c r="N28" s="64">
        <v>49.42</v>
      </c>
      <c r="O28" s="50">
        <f>N28+L28+$N$27</f>
        <v>6.0300000000000011</v>
      </c>
      <c r="S28" s="9">
        <f t="shared" si="4"/>
        <v>45202</v>
      </c>
      <c r="T28" s="31" t="s">
        <v>248</v>
      </c>
      <c r="U28" s="6">
        <v>64.010000000000005</v>
      </c>
      <c r="V28" s="31" t="s">
        <v>24</v>
      </c>
      <c r="W28" s="6">
        <v>54.88</v>
      </c>
      <c r="X28" s="34">
        <f t="shared" si="5"/>
        <v>118.89000000000001</v>
      </c>
      <c r="AE28" s="29" t="s">
        <v>208</v>
      </c>
      <c r="AF28" s="51">
        <v>5571596.8058980508</v>
      </c>
      <c r="AG28" s="51">
        <v>560545.37265958195</v>
      </c>
      <c r="AH28" s="51">
        <v>5571913.2024339326</v>
      </c>
      <c r="AI28" s="51">
        <v>560590.04006764572</v>
      </c>
      <c r="AJ28" s="97">
        <f>SQRT((AF28-AH28)^2+(AG28-AI28)^2)</f>
        <v>319.53395009159163</v>
      </c>
    </row>
    <row r="29" spans="1:36" x14ac:dyDescent="0.3">
      <c r="J29" s="8" t="str">
        <f t="shared" si="2"/>
        <v/>
      </c>
      <c r="S29" s="9" t="str">
        <f t="shared" si="4"/>
        <v/>
      </c>
      <c r="AE29" s="29" t="s">
        <v>209</v>
      </c>
      <c r="AF29" s="51">
        <v>5571596.8058980508</v>
      </c>
      <c r="AG29" s="51">
        <v>560545.37265958195</v>
      </c>
      <c r="AH29" s="51">
        <v>5571888.4697673358</v>
      </c>
      <c r="AI29" s="51">
        <v>560586.36045876599</v>
      </c>
      <c r="AJ29" s="97">
        <f t="shared" ref="AJ29:AJ35" si="7">SQRT((AF29-AH29)^2+(AG29-AI29)^2)</f>
        <v>294.52981568639836</v>
      </c>
    </row>
    <row r="30" spans="1:36" x14ac:dyDescent="0.3">
      <c r="C30" s="20"/>
      <c r="J30" s="8" t="str">
        <f t="shared" si="2"/>
        <v/>
      </c>
      <c r="O30" s="22"/>
      <c r="S30" s="9" t="str">
        <f t="shared" si="4"/>
        <v/>
      </c>
      <c r="AE30" s="29" t="s">
        <v>210</v>
      </c>
      <c r="AF30" s="51">
        <v>5571596.8058980508</v>
      </c>
      <c r="AG30" s="51">
        <v>560545.37265958195</v>
      </c>
      <c r="AH30" s="51">
        <v>5571867.5118874088</v>
      </c>
      <c r="AI30" s="51">
        <v>560576.81330374698</v>
      </c>
      <c r="AJ30" s="97">
        <f t="shared" si="7"/>
        <v>272.52568095468416</v>
      </c>
    </row>
    <row r="31" spans="1:36" x14ac:dyDescent="0.3">
      <c r="C31" s="20"/>
      <c r="J31" s="8" t="str">
        <f t="shared" si="2"/>
        <v/>
      </c>
      <c r="S31" s="9" t="str">
        <f t="shared" si="4"/>
        <v/>
      </c>
      <c r="X31" s="23"/>
      <c r="AE31" s="29" t="s">
        <v>211</v>
      </c>
      <c r="AF31" s="51">
        <v>5571596.8058980508</v>
      </c>
      <c r="AG31" s="51">
        <v>560545.37265958195</v>
      </c>
      <c r="AH31" s="51">
        <v>5571840.9917808836</v>
      </c>
      <c r="AI31" s="51">
        <v>560564.73233138747</v>
      </c>
      <c r="AJ31" s="97">
        <f t="shared" si="7"/>
        <v>244.95212239798659</v>
      </c>
    </row>
    <row r="32" spans="1:36" x14ac:dyDescent="0.3">
      <c r="C32" s="20"/>
      <c r="J32" s="8" t="str">
        <f t="shared" si="2"/>
        <v/>
      </c>
      <c r="S32" s="9" t="str">
        <f t="shared" si="4"/>
        <v/>
      </c>
      <c r="AE32" s="29" t="s">
        <v>212</v>
      </c>
      <c r="AF32" s="51">
        <v>5571596.8058980508</v>
      </c>
      <c r="AG32" s="51">
        <v>560545.37265958195</v>
      </c>
      <c r="AH32" s="51">
        <v>5571833.544302688</v>
      </c>
      <c r="AI32" s="51">
        <v>560578.18890853494</v>
      </c>
      <c r="AJ32" s="97">
        <f t="shared" si="7"/>
        <v>239.00204690653322</v>
      </c>
    </row>
    <row r="33" spans="10:36" x14ac:dyDescent="0.3">
      <c r="J33" s="8" t="str">
        <f t="shared" si="2"/>
        <v/>
      </c>
      <c r="S33" s="9" t="str">
        <f t="shared" si="4"/>
        <v/>
      </c>
      <c r="AE33" s="29" t="s">
        <v>213</v>
      </c>
      <c r="AF33" s="51">
        <v>5571596.8058980508</v>
      </c>
      <c r="AG33" s="51">
        <v>560545.37265958195</v>
      </c>
      <c r="AH33" s="51">
        <v>5571833.544302688</v>
      </c>
      <c r="AI33" s="51">
        <v>560578.18890853494</v>
      </c>
      <c r="AJ33" s="97">
        <f t="shared" si="7"/>
        <v>239.00204690653322</v>
      </c>
    </row>
    <row r="34" spans="10:36" x14ac:dyDescent="0.3">
      <c r="J34" s="8" t="str">
        <f t="shared" si="2"/>
        <v/>
      </c>
      <c r="S34" s="9" t="str">
        <f t="shared" si="4"/>
        <v/>
      </c>
      <c r="AE34" s="29" t="s">
        <v>218</v>
      </c>
      <c r="AF34" s="51">
        <v>5571596.8058980508</v>
      </c>
      <c r="AG34" s="51">
        <v>560545.37265958195</v>
      </c>
      <c r="AH34" s="51">
        <v>5571735.2957277587</v>
      </c>
      <c r="AI34" s="51">
        <v>560565.84951486276</v>
      </c>
      <c r="AJ34" s="97">
        <f t="shared" si="7"/>
        <v>139.99548040816097</v>
      </c>
    </row>
    <row r="35" spans="10:36" x14ac:dyDescent="0.3">
      <c r="J35" s="8" t="str">
        <f t="shared" si="2"/>
        <v/>
      </c>
      <c r="S35" s="9" t="str">
        <f t="shared" si="4"/>
        <v/>
      </c>
      <c r="AE35" s="29" t="s">
        <v>249</v>
      </c>
      <c r="AF35">
        <v>510152</v>
      </c>
      <c r="AG35">
        <v>5483040</v>
      </c>
      <c r="AH35">
        <v>510320</v>
      </c>
      <c r="AI35">
        <v>5482992</v>
      </c>
      <c r="AJ35" s="97">
        <f t="shared" si="7"/>
        <v>174.72263734273244</v>
      </c>
    </row>
    <row r="36" spans="10:36" x14ac:dyDescent="0.3">
      <c r="J36" s="8" t="str">
        <f t="shared" si="2"/>
        <v/>
      </c>
      <c r="S36" s="9" t="str">
        <f t="shared" si="4"/>
        <v/>
      </c>
    </row>
    <row r="37" spans="10:36" x14ac:dyDescent="0.3">
      <c r="J37" s="8" t="str">
        <f t="shared" si="2"/>
        <v/>
      </c>
      <c r="S37" s="9" t="str">
        <f t="shared" si="4"/>
        <v/>
      </c>
    </row>
    <row r="38" spans="10:36" x14ac:dyDescent="0.3">
      <c r="J38" s="8" t="str">
        <f t="shared" si="2"/>
        <v/>
      </c>
      <c r="S38" s="9" t="str">
        <f t="shared" si="4"/>
        <v/>
      </c>
    </row>
    <row r="39" spans="10:36" x14ac:dyDescent="0.3">
      <c r="J39" s="8" t="str">
        <f t="shared" si="2"/>
        <v/>
      </c>
      <c r="S39" s="9" t="str">
        <f t="shared" si="4"/>
        <v/>
      </c>
    </row>
    <row r="40" spans="10:36" x14ac:dyDescent="0.3">
      <c r="J40" s="8" t="str">
        <f t="shared" si="2"/>
        <v/>
      </c>
      <c r="S40" s="9" t="str">
        <f t="shared" si="4"/>
        <v/>
      </c>
    </row>
    <row r="41" spans="10:36" x14ac:dyDescent="0.3">
      <c r="J41" s="8" t="str">
        <f t="shared" si="2"/>
        <v/>
      </c>
      <c r="S41" s="9" t="str">
        <f t="shared" si="4"/>
        <v/>
      </c>
    </row>
    <row r="42" spans="10:36" x14ac:dyDescent="0.3">
      <c r="J42" s="8" t="str">
        <f t="shared" si="2"/>
        <v/>
      </c>
      <c r="S42" s="9" t="str">
        <f t="shared" si="4"/>
        <v/>
      </c>
    </row>
    <row r="43" spans="10:36" x14ac:dyDescent="0.3">
      <c r="J43" s="8" t="str">
        <f t="shared" si="2"/>
        <v/>
      </c>
      <c r="S43" s="9" t="str">
        <f t="shared" si="4"/>
        <v/>
      </c>
    </row>
    <row r="44" spans="10:36" x14ac:dyDescent="0.3">
      <c r="J44" s="8" t="str">
        <f t="shared" si="2"/>
        <v/>
      </c>
      <c r="S44" s="9" t="str">
        <f t="shared" si="4"/>
        <v/>
      </c>
    </row>
    <row r="45" spans="10:36" x14ac:dyDescent="0.3">
      <c r="J45" s="8" t="str">
        <f t="shared" si="2"/>
        <v/>
      </c>
      <c r="S45" s="9" t="str">
        <f t="shared" si="4"/>
        <v/>
      </c>
    </row>
    <row r="46" spans="10:36" x14ac:dyDescent="0.3">
      <c r="J46" s="8" t="str">
        <f t="shared" si="2"/>
        <v/>
      </c>
      <c r="S46" s="9" t="str">
        <f t="shared" si="4"/>
        <v/>
      </c>
    </row>
    <row r="47" spans="10:36" x14ac:dyDescent="0.3">
      <c r="J47" s="8" t="str">
        <f t="shared" si="2"/>
        <v/>
      </c>
      <c r="S47" s="9" t="str">
        <f t="shared" si="4"/>
        <v/>
      </c>
    </row>
    <row r="48" spans="10:36" x14ac:dyDescent="0.3">
      <c r="J48" s="8" t="str">
        <f t="shared" si="2"/>
        <v/>
      </c>
      <c r="S48" s="9" t="str">
        <f t="shared" si="4"/>
        <v/>
      </c>
    </row>
    <row r="49" spans="10:19" x14ac:dyDescent="0.3">
      <c r="J49" s="8" t="str">
        <f t="shared" si="2"/>
        <v/>
      </c>
      <c r="S49" s="9" t="str">
        <f t="shared" si="4"/>
        <v/>
      </c>
    </row>
    <row r="50" spans="10:19" x14ac:dyDescent="0.3">
      <c r="J50" s="8" t="str">
        <f t="shared" si="2"/>
        <v/>
      </c>
      <c r="S50" s="9" t="str">
        <f t="shared" si="4"/>
        <v/>
      </c>
    </row>
    <row r="51" spans="10:19" x14ac:dyDescent="0.3">
      <c r="J51" s="8" t="str">
        <f t="shared" si="2"/>
        <v/>
      </c>
      <c r="S51" s="9" t="str">
        <f t="shared" si="4"/>
        <v/>
      </c>
    </row>
    <row r="52" spans="10:19" x14ac:dyDescent="0.3">
      <c r="J52" s="8" t="str">
        <f t="shared" si="2"/>
        <v/>
      </c>
      <c r="S52" s="9" t="str">
        <f t="shared" si="4"/>
        <v/>
      </c>
    </row>
    <row r="53" spans="10:19" x14ac:dyDescent="0.3">
      <c r="J53" s="8" t="str">
        <f t="shared" si="2"/>
        <v/>
      </c>
      <c r="S53" s="9" t="str">
        <f t="shared" si="4"/>
        <v/>
      </c>
    </row>
    <row r="54" spans="10:19" x14ac:dyDescent="0.3">
      <c r="J54" s="8" t="str">
        <f t="shared" si="2"/>
        <v/>
      </c>
      <c r="S54" s="9" t="str">
        <f t="shared" si="4"/>
        <v/>
      </c>
    </row>
    <row r="55" spans="10:19" x14ac:dyDescent="0.3">
      <c r="J55" s="8" t="str">
        <f t="shared" si="2"/>
        <v/>
      </c>
      <c r="S55" s="9" t="str">
        <f t="shared" si="4"/>
        <v/>
      </c>
    </row>
    <row r="56" spans="10:19" x14ac:dyDescent="0.3">
      <c r="J56" s="8" t="str">
        <f t="shared" si="2"/>
        <v/>
      </c>
      <c r="S56" s="9" t="str">
        <f t="shared" si="4"/>
        <v/>
      </c>
    </row>
    <row r="57" spans="10:19" x14ac:dyDescent="0.3">
      <c r="J57" s="8" t="str">
        <f t="shared" si="2"/>
        <v/>
      </c>
      <c r="S57" s="9" t="str">
        <f t="shared" si="4"/>
        <v/>
      </c>
    </row>
    <row r="58" spans="10:19" x14ac:dyDescent="0.3">
      <c r="J58" s="8" t="str">
        <f t="shared" si="2"/>
        <v/>
      </c>
      <c r="S58" s="9" t="str">
        <f t="shared" si="4"/>
        <v/>
      </c>
    </row>
    <row r="59" spans="10:19" x14ac:dyDescent="0.3">
      <c r="J59" s="8" t="str">
        <f t="shared" si="2"/>
        <v/>
      </c>
      <c r="S59" s="9" t="str">
        <f t="shared" si="4"/>
        <v/>
      </c>
    </row>
    <row r="60" spans="10:19" x14ac:dyDescent="0.3">
      <c r="J60" s="8" t="str">
        <f t="shared" si="2"/>
        <v/>
      </c>
      <c r="S60" s="9" t="str">
        <f t="shared" si="4"/>
        <v/>
      </c>
    </row>
    <row r="61" spans="10:19" x14ac:dyDescent="0.3">
      <c r="J61" s="8" t="str">
        <f t="shared" si="2"/>
        <v/>
      </c>
      <c r="S61" s="9" t="str">
        <f t="shared" si="4"/>
        <v/>
      </c>
    </row>
    <row r="62" spans="10:19" x14ac:dyDescent="0.3">
      <c r="J62" s="8" t="str">
        <f t="shared" si="2"/>
        <v/>
      </c>
      <c r="S62" s="9" t="str">
        <f t="shared" si="4"/>
        <v/>
      </c>
    </row>
    <row r="63" spans="10:19" x14ac:dyDescent="0.3">
      <c r="J63" s="8" t="str">
        <f t="shared" si="2"/>
        <v/>
      </c>
      <c r="S63" s="9" t="str">
        <f t="shared" si="4"/>
        <v/>
      </c>
    </row>
    <row r="64" spans="10:19" x14ac:dyDescent="0.3">
      <c r="J64" s="8" t="str">
        <f t="shared" si="2"/>
        <v/>
      </c>
      <c r="S64" s="9" t="str">
        <f t="shared" si="4"/>
        <v/>
      </c>
    </row>
    <row r="65" spans="10:19" x14ac:dyDescent="0.3">
      <c r="J65" s="8" t="str">
        <f t="shared" si="2"/>
        <v/>
      </c>
      <c r="S65" s="9" t="str">
        <f t="shared" si="4"/>
        <v/>
      </c>
    </row>
    <row r="66" spans="10:19" x14ac:dyDescent="0.3">
      <c r="J66" s="8" t="str">
        <f t="shared" si="2"/>
        <v/>
      </c>
      <c r="S66" s="9" t="str">
        <f t="shared" si="4"/>
        <v/>
      </c>
    </row>
    <row r="67" spans="10:19" x14ac:dyDescent="0.3">
      <c r="J67" s="8" t="str">
        <f t="shared" si="2"/>
        <v/>
      </c>
      <c r="S67" s="9" t="str">
        <f t="shared" si="4"/>
        <v/>
      </c>
    </row>
    <row r="68" spans="10:19" x14ac:dyDescent="0.3">
      <c r="J68" s="8" t="str">
        <f t="shared" si="2"/>
        <v/>
      </c>
      <c r="S68" s="9" t="str">
        <f t="shared" si="4"/>
        <v/>
      </c>
    </row>
    <row r="69" spans="10:19" x14ac:dyDescent="0.3">
      <c r="J69" s="8" t="str">
        <f t="shared" si="2"/>
        <v/>
      </c>
      <c r="S69" s="9" t="str">
        <f t="shared" si="4"/>
        <v/>
      </c>
    </row>
    <row r="70" spans="10:19" x14ac:dyDescent="0.3">
      <c r="J70" s="8" t="str">
        <f t="shared" si="2"/>
        <v/>
      </c>
      <c r="S70" s="9" t="str">
        <f t="shared" si="4"/>
        <v/>
      </c>
    </row>
    <row r="71" spans="10:19" x14ac:dyDescent="0.3">
      <c r="J71" s="8" t="str">
        <f t="shared" si="2"/>
        <v/>
      </c>
      <c r="S71" s="9" t="str">
        <f t="shared" si="4"/>
        <v/>
      </c>
    </row>
    <row r="72" spans="10:19" x14ac:dyDescent="0.3">
      <c r="J72" s="8" t="str">
        <f t="shared" si="2"/>
        <v/>
      </c>
      <c r="S72" s="9" t="str">
        <f t="shared" si="4"/>
        <v/>
      </c>
    </row>
    <row r="73" spans="10:19" x14ac:dyDescent="0.3">
      <c r="J73" s="8" t="str">
        <f t="shared" si="2"/>
        <v/>
      </c>
      <c r="S73" s="9" t="str">
        <f t="shared" si="4"/>
        <v/>
      </c>
    </row>
    <row r="74" spans="10:19" x14ac:dyDescent="0.3">
      <c r="J74" s="8" t="str">
        <f t="shared" ref="J74:J82" si="8">IF(ISNUMBER(A74),A74,"")</f>
        <v/>
      </c>
      <c r="S74" s="9" t="str">
        <f t="shared" ref="S74:S82" si="9">IF(ISNUMBER(J74),J74,"")</f>
        <v/>
      </c>
    </row>
    <row r="75" spans="10:19" x14ac:dyDescent="0.3">
      <c r="J75" s="8" t="str">
        <f t="shared" si="8"/>
        <v/>
      </c>
      <c r="S75" s="9" t="str">
        <f t="shared" si="9"/>
        <v/>
      </c>
    </row>
    <row r="76" spans="10:19" x14ac:dyDescent="0.3">
      <c r="J76" s="8" t="str">
        <f t="shared" si="8"/>
        <v/>
      </c>
      <c r="S76" s="9" t="str">
        <f t="shared" si="9"/>
        <v/>
      </c>
    </row>
    <row r="77" spans="10:19" x14ac:dyDescent="0.3">
      <c r="J77" s="8" t="str">
        <f t="shared" si="8"/>
        <v/>
      </c>
      <c r="S77" s="9" t="str">
        <f t="shared" si="9"/>
        <v/>
      </c>
    </row>
    <row r="78" spans="10:19" x14ac:dyDescent="0.3">
      <c r="J78" s="8" t="str">
        <f t="shared" si="8"/>
        <v/>
      </c>
      <c r="S78" s="9" t="str">
        <f t="shared" si="9"/>
        <v/>
      </c>
    </row>
    <row r="79" spans="10:19" x14ac:dyDescent="0.3">
      <c r="J79" s="8" t="str">
        <f t="shared" si="8"/>
        <v/>
      </c>
      <c r="S79" s="9" t="str">
        <f t="shared" si="9"/>
        <v/>
      </c>
    </row>
    <row r="80" spans="10:19" x14ac:dyDescent="0.3">
      <c r="J80" s="8" t="str">
        <f t="shared" si="8"/>
        <v/>
      </c>
      <c r="S80" s="9" t="str">
        <f t="shared" si="9"/>
        <v/>
      </c>
    </row>
    <row r="81" spans="10:19" x14ac:dyDescent="0.3">
      <c r="J81" s="8" t="str">
        <f t="shared" si="8"/>
        <v/>
      </c>
      <c r="S81" s="9" t="str">
        <f t="shared" si="9"/>
        <v/>
      </c>
    </row>
    <row r="82" spans="10:19" x14ac:dyDescent="0.3">
      <c r="J82" s="8" t="str">
        <f t="shared" si="8"/>
        <v/>
      </c>
      <c r="S82" s="9" t="str">
        <f t="shared" si="9"/>
        <v/>
      </c>
    </row>
  </sheetData>
  <mergeCells count="2">
    <mergeCell ref="AF26:AG26"/>
    <mergeCell ref="AH26:AI26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"/>
  <sheetViews>
    <sheetView topLeftCell="A4" workbookViewId="0">
      <selection activeCell="S28" sqref="S28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5" width="9.1796875" style="2" customWidth="1"/>
    <col min="6" max="6" width="9.1796875" style="1" customWidth="1"/>
    <col min="7" max="7" width="9.1796875" style="4" customWidth="1"/>
    <col min="8" max="8" width="9.1796875" style="11" customWidth="1"/>
    <col min="9" max="9" width="9.1796875" style="4" customWidth="1"/>
    <col min="10" max="10" width="9.1796875" style="11" customWidth="1"/>
    <col min="11" max="12" width="9.1796875" style="4" customWidth="1"/>
    <col min="13" max="13" width="9.1796875" style="6" customWidth="1"/>
    <col min="14" max="14" width="9.1796875" style="12" customWidth="1"/>
    <col min="15" max="18" width="9.1796875" style="6" customWidth="1"/>
  </cols>
  <sheetData>
    <row r="1" spans="1:19" x14ac:dyDescent="0.3">
      <c r="A1" s="1" t="s">
        <v>29</v>
      </c>
      <c r="G1" s="3" t="s">
        <v>30</v>
      </c>
      <c r="M1" s="5" t="s">
        <v>31</v>
      </c>
      <c r="S1" t="s">
        <v>105</v>
      </c>
    </row>
    <row r="3" spans="1:19" x14ac:dyDescent="0.3">
      <c r="A3" s="2" t="s">
        <v>0</v>
      </c>
      <c r="B3" s="10" t="s">
        <v>1</v>
      </c>
      <c r="C3" s="2" t="s">
        <v>2</v>
      </c>
      <c r="D3" s="2" t="s">
        <v>4</v>
      </c>
      <c r="E3" s="2" t="s">
        <v>6</v>
      </c>
      <c r="F3" s="1" t="s">
        <v>6</v>
      </c>
      <c r="G3" s="4" t="s">
        <v>0</v>
      </c>
      <c r="H3" s="11" t="s">
        <v>1</v>
      </c>
      <c r="I3" s="4" t="s">
        <v>2</v>
      </c>
      <c r="J3" s="11" t="s">
        <v>4</v>
      </c>
      <c r="K3" s="4" t="s">
        <v>6</v>
      </c>
      <c r="L3" s="3" t="s">
        <v>6</v>
      </c>
      <c r="M3" s="6" t="s">
        <v>0</v>
      </c>
      <c r="N3" s="12" t="s">
        <v>1</v>
      </c>
      <c r="O3" s="6" t="s">
        <v>2</v>
      </c>
      <c r="P3" s="6" t="s">
        <v>4</v>
      </c>
      <c r="Q3" s="6" t="s">
        <v>6</v>
      </c>
      <c r="R3" s="5" t="s">
        <v>6</v>
      </c>
    </row>
    <row r="4" spans="1:19" x14ac:dyDescent="0.3">
      <c r="C4" s="2" t="s">
        <v>3</v>
      </c>
      <c r="D4" s="2" t="s">
        <v>5</v>
      </c>
      <c r="E4" s="2" t="s">
        <v>7</v>
      </c>
      <c r="F4" s="1" t="s">
        <v>9</v>
      </c>
      <c r="I4" s="4" t="s">
        <v>3</v>
      </c>
      <c r="J4" s="11" t="s">
        <v>5</v>
      </c>
      <c r="K4" s="4" t="s">
        <v>7</v>
      </c>
      <c r="L4" s="3" t="s">
        <v>9</v>
      </c>
      <c r="O4" s="6" t="s">
        <v>3</v>
      </c>
      <c r="P4" s="6" t="s">
        <v>5</v>
      </c>
      <c r="Q4" s="6" t="s">
        <v>7</v>
      </c>
      <c r="R4" s="5" t="s">
        <v>9</v>
      </c>
    </row>
    <row r="5" spans="1:19" x14ac:dyDescent="0.3">
      <c r="E5" s="2" t="s">
        <v>8</v>
      </c>
      <c r="F5" s="1" t="s">
        <v>8</v>
      </c>
      <c r="K5" s="4" t="s">
        <v>8</v>
      </c>
      <c r="L5" s="3" t="s">
        <v>8</v>
      </c>
      <c r="Q5" s="6" t="s">
        <v>8</v>
      </c>
      <c r="R5" s="5" t="s">
        <v>8</v>
      </c>
    </row>
    <row r="7" spans="1:19" x14ac:dyDescent="0.3">
      <c r="A7" s="7">
        <v>31958</v>
      </c>
      <c r="B7" s="10" t="s">
        <v>32</v>
      </c>
      <c r="C7" s="20">
        <v>1.3</v>
      </c>
      <c r="D7" s="2">
        <v>10</v>
      </c>
      <c r="E7" s="2">
        <f>57.88+23.67</f>
        <v>81.550000000000011</v>
      </c>
      <c r="F7" s="16">
        <f t="shared" ref="F7:F31" si="0">E7+C7</f>
        <v>82.850000000000009</v>
      </c>
      <c r="G7" s="8">
        <f>IF(ISNUMBER(A7),A7,"")</f>
        <v>31958</v>
      </c>
      <c r="H7" s="11" t="s">
        <v>33</v>
      </c>
      <c r="I7" s="22">
        <v>2</v>
      </c>
      <c r="J7" s="11">
        <v>20</v>
      </c>
      <c r="K7" s="4">
        <f>53.48+23</f>
        <v>76.47999999999999</v>
      </c>
      <c r="L7" s="3">
        <f t="shared" ref="L7:L22" si="1">K7+I7</f>
        <v>78.47999999999999</v>
      </c>
      <c r="M7" s="9">
        <f>IF(ISNUMBER(G7),G7,"")</f>
        <v>31958</v>
      </c>
      <c r="N7" s="12" t="s">
        <v>35</v>
      </c>
      <c r="O7" s="23">
        <v>2.2000000000000002</v>
      </c>
      <c r="P7" s="6">
        <v>31</v>
      </c>
      <c r="Q7" s="6">
        <f>55.2+18.8</f>
        <v>74</v>
      </c>
      <c r="R7" s="18">
        <f t="shared" ref="R7:R22" si="2">Q7+O7</f>
        <v>76.2</v>
      </c>
    </row>
    <row r="8" spans="1:19" x14ac:dyDescent="0.3">
      <c r="A8" s="7">
        <v>33021</v>
      </c>
      <c r="B8" s="10" t="s">
        <v>32</v>
      </c>
      <c r="C8" s="20">
        <v>0.61</v>
      </c>
      <c r="D8" s="2">
        <v>10</v>
      </c>
      <c r="E8" s="2">
        <f>57.88+23.67</f>
        <v>81.550000000000011</v>
      </c>
      <c r="F8" s="16">
        <f t="shared" si="0"/>
        <v>82.160000000000011</v>
      </c>
      <c r="G8" s="8">
        <f t="shared" ref="G8:G76" si="3">IF(ISNUMBER(A8),A8,"")</f>
        <v>33021</v>
      </c>
      <c r="H8" s="11">
        <v>2</v>
      </c>
      <c r="I8" s="22">
        <v>22.55</v>
      </c>
      <c r="J8" s="11">
        <v>20</v>
      </c>
      <c r="K8" s="4">
        <f>53.48</f>
        <v>53.48</v>
      </c>
      <c r="L8" s="3">
        <f t="shared" si="1"/>
        <v>76.03</v>
      </c>
      <c r="M8" s="9">
        <f t="shared" ref="M8:M76" si="4">IF(ISNUMBER(G8),G8,"")</f>
        <v>33021</v>
      </c>
      <c r="N8" s="12">
        <v>3</v>
      </c>
      <c r="O8" s="23">
        <v>17.54</v>
      </c>
      <c r="P8" s="6">
        <v>31</v>
      </c>
      <c r="Q8" s="6">
        <v>55.2</v>
      </c>
      <c r="R8" s="18">
        <f t="shared" si="2"/>
        <v>72.740000000000009</v>
      </c>
    </row>
    <row r="9" spans="1:19" x14ac:dyDescent="0.3">
      <c r="A9" s="7">
        <v>34899</v>
      </c>
      <c r="B9" s="10">
        <v>1</v>
      </c>
      <c r="C9" s="20">
        <v>16.5</v>
      </c>
      <c r="D9" s="2">
        <v>10</v>
      </c>
      <c r="E9" s="2">
        <v>57.88</v>
      </c>
      <c r="F9" s="16">
        <f t="shared" si="0"/>
        <v>74.38</v>
      </c>
      <c r="G9" s="8">
        <f t="shared" si="3"/>
        <v>34899</v>
      </c>
      <c r="H9" s="11">
        <v>2</v>
      </c>
      <c r="I9" s="22">
        <v>15.8</v>
      </c>
      <c r="J9" s="11">
        <v>20</v>
      </c>
      <c r="K9" s="4">
        <f>53.48</f>
        <v>53.48</v>
      </c>
      <c r="L9" s="3">
        <f t="shared" si="1"/>
        <v>69.28</v>
      </c>
      <c r="M9" s="9">
        <f t="shared" si="4"/>
        <v>34899</v>
      </c>
      <c r="N9" s="12">
        <v>3</v>
      </c>
      <c r="O9" s="23">
        <v>8.17</v>
      </c>
      <c r="P9" s="6">
        <v>31</v>
      </c>
      <c r="Q9" s="6">
        <v>55.2</v>
      </c>
      <c r="R9" s="18">
        <f t="shared" si="2"/>
        <v>63.370000000000005</v>
      </c>
    </row>
    <row r="10" spans="1:19" x14ac:dyDescent="0.3">
      <c r="A10" s="7">
        <v>36722</v>
      </c>
      <c r="B10" s="10">
        <v>1</v>
      </c>
      <c r="C10" s="20">
        <v>12.24</v>
      </c>
      <c r="D10" s="2">
        <v>10</v>
      </c>
      <c r="E10" s="2">
        <v>57.88</v>
      </c>
      <c r="F10" s="16">
        <f t="shared" si="0"/>
        <v>70.12</v>
      </c>
      <c r="G10" s="8">
        <f t="shared" si="3"/>
        <v>36722</v>
      </c>
      <c r="H10" s="11">
        <v>2</v>
      </c>
      <c r="I10" s="22">
        <v>11.43</v>
      </c>
      <c r="J10" s="11">
        <v>20</v>
      </c>
      <c r="K10" s="4">
        <f>53.48</f>
        <v>53.48</v>
      </c>
      <c r="L10" s="3">
        <f t="shared" si="1"/>
        <v>64.91</v>
      </c>
      <c r="M10" s="9">
        <f t="shared" si="4"/>
        <v>36722</v>
      </c>
      <c r="N10" s="12">
        <v>3</v>
      </c>
      <c r="O10" s="23">
        <v>2.57</v>
      </c>
      <c r="P10" s="6">
        <v>31</v>
      </c>
      <c r="Q10" s="6">
        <v>55.2</v>
      </c>
      <c r="R10" s="18">
        <f t="shared" si="2"/>
        <v>57.77</v>
      </c>
    </row>
    <row r="11" spans="1:19" x14ac:dyDescent="0.3">
      <c r="A11" s="7">
        <v>37082</v>
      </c>
      <c r="B11" s="10">
        <v>1</v>
      </c>
      <c r="C11" s="20">
        <v>11.52</v>
      </c>
      <c r="D11" s="2">
        <v>10</v>
      </c>
      <c r="E11" s="2">
        <v>57.88</v>
      </c>
      <c r="F11" s="16">
        <f t="shared" si="0"/>
        <v>69.400000000000006</v>
      </c>
      <c r="G11" s="8">
        <f t="shared" si="3"/>
        <v>37082</v>
      </c>
      <c r="H11" s="11">
        <v>2</v>
      </c>
      <c r="I11" s="22">
        <v>7.55</v>
      </c>
      <c r="J11" s="11">
        <v>20</v>
      </c>
      <c r="K11" s="4">
        <f>53.48</f>
        <v>53.48</v>
      </c>
      <c r="L11" s="3">
        <f>K11+I11</f>
        <v>61.029999999999994</v>
      </c>
      <c r="M11" s="9">
        <f t="shared" si="4"/>
        <v>37082</v>
      </c>
      <c r="N11" s="12">
        <v>3</v>
      </c>
      <c r="O11" s="23">
        <v>0.95</v>
      </c>
      <c r="P11" s="6">
        <v>31</v>
      </c>
      <c r="Q11" s="6">
        <v>55.2</v>
      </c>
      <c r="R11" s="18">
        <f>Q11+O11</f>
        <v>56.150000000000006</v>
      </c>
    </row>
    <row r="12" spans="1:19" x14ac:dyDescent="0.3">
      <c r="A12" s="7">
        <v>37819</v>
      </c>
      <c r="B12" s="10">
        <v>1</v>
      </c>
      <c r="C12" s="20">
        <v>8.5</v>
      </c>
      <c r="D12" s="2">
        <v>10</v>
      </c>
      <c r="E12" s="2">
        <v>57.88</v>
      </c>
      <c r="F12" s="16">
        <f t="shared" si="0"/>
        <v>66.38</v>
      </c>
      <c r="G12" s="8">
        <f t="shared" si="3"/>
        <v>37819</v>
      </c>
      <c r="H12" s="11">
        <v>2</v>
      </c>
      <c r="I12" s="22">
        <v>4.9000000000000004</v>
      </c>
      <c r="J12" s="11">
        <v>20</v>
      </c>
      <c r="K12" s="4">
        <f>53.48</f>
        <v>53.48</v>
      </c>
      <c r="L12" s="3">
        <f t="shared" si="1"/>
        <v>58.379999999999995</v>
      </c>
      <c r="M12" s="9">
        <f t="shared" si="4"/>
        <v>37819</v>
      </c>
      <c r="N12" s="12">
        <v>30</v>
      </c>
      <c r="O12" s="23">
        <v>53.4</v>
      </c>
      <c r="P12" s="6">
        <v>31</v>
      </c>
      <c r="Q12" s="6">
        <v>0</v>
      </c>
      <c r="R12" s="18">
        <f t="shared" si="2"/>
        <v>53.4</v>
      </c>
    </row>
    <row r="13" spans="1:19" x14ac:dyDescent="0.3">
      <c r="A13" s="7">
        <v>38189</v>
      </c>
      <c r="B13" s="10">
        <v>1</v>
      </c>
      <c r="C13" s="20">
        <v>7.52</v>
      </c>
      <c r="D13" s="2">
        <v>10</v>
      </c>
      <c r="E13" s="2">
        <v>57.88</v>
      </c>
      <c r="F13" s="16">
        <f t="shared" si="0"/>
        <v>65.400000000000006</v>
      </c>
      <c r="G13" s="8">
        <f t="shared" si="3"/>
        <v>38189</v>
      </c>
      <c r="H13" s="11">
        <v>20</v>
      </c>
      <c r="I13" s="22">
        <v>56.56</v>
      </c>
      <c r="J13" s="11">
        <v>20</v>
      </c>
      <c r="K13" s="4">
        <v>0</v>
      </c>
      <c r="L13" s="3">
        <f t="shared" si="1"/>
        <v>56.56</v>
      </c>
      <c r="M13" s="9">
        <f t="shared" si="4"/>
        <v>38189</v>
      </c>
      <c r="N13" s="12">
        <v>30</v>
      </c>
      <c r="O13" s="23">
        <v>51.28</v>
      </c>
      <c r="P13" s="6">
        <v>31</v>
      </c>
      <c r="Q13" s="6">
        <v>0</v>
      </c>
      <c r="R13" s="18">
        <f t="shared" si="2"/>
        <v>51.28</v>
      </c>
    </row>
    <row r="14" spans="1:19" x14ac:dyDescent="0.3">
      <c r="A14" s="7">
        <v>38551</v>
      </c>
      <c r="B14" s="10">
        <v>1</v>
      </c>
      <c r="C14" s="20">
        <v>7.29</v>
      </c>
      <c r="D14" s="2">
        <v>10</v>
      </c>
      <c r="E14" s="2">
        <v>57.88</v>
      </c>
      <c r="F14" s="16">
        <f t="shared" si="0"/>
        <v>65.17</v>
      </c>
      <c r="G14" s="8">
        <f t="shared" si="3"/>
        <v>38551</v>
      </c>
      <c r="H14" s="11">
        <v>20</v>
      </c>
      <c r="I14" s="22">
        <v>56.01</v>
      </c>
      <c r="J14" s="11">
        <v>20</v>
      </c>
      <c r="K14" s="4">
        <v>0</v>
      </c>
      <c r="L14" s="3">
        <f t="shared" si="1"/>
        <v>56.01</v>
      </c>
      <c r="M14" s="9">
        <f t="shared" si="4"/>
        <v>38551</v>
      </c>
      <c r="N14" s="12">
        <v>31</v>
      </c>
      <c r="O14" s="23">
        <v>50.92</v>
      </c>
      <c r="P14" s="6">
        <v>31</v>
      </c>
      <c r="Q14" s="6">
        <v>0</v>
      </c>
      <c r="R14" s="18">
        <f t="shared" si="2"/>
        <v>50.92</v>
      </c>
    </row>
    <row r="15" spans="1:19" x14ac:dyDescent="0.3">
      <c r="A15" s="7">
        <v>38926</v>
      </c>
      <c r="B15" s="10">
        <v>1</v>
      </c>
      <c r="C15" s="20">
        <v>5.48</v>
      </c>
      <c r="D15" s="2">
        <v>10</v>
      </c>
      <c r="E15" s="2">
        <v>57.88</v>
      </c>
      <c r="F15" s="16">
        <f t="shared" si="0"/>
        <v>63.36</v>
      </c>
      <c r="G15" s="8">
        <f t="shared" si="3"/>
        <v>38926</v>
      </c>
      <c r="H15" s="11">
        <v>20</v>
      </c>
      <c r="I15" s="22">
        <v>53.13</v>
      </c>
      <c r="J15" s="11">
        <v>20</v>
      </c>
      <c r="K15" s="4">
        <v>0</v>
      </c>
      <c r="L15" s="3">
        <f t="shared" si="1"/>
        <v>53.13</v>
      </c>
      <c r="M15" s="9">
        <f t="shared" si="4"/>
        <v>38926</v>
      </c>
      <c r="N15" s="12">
        <v>31</v>
      </c>
      <c r="O15" s="23">
        <v>49.33</v>
      </c>
      <c r="P15" s="6">
        <v>31</v>
      </c>
      <c r="Q15" s="6">
        <v>0</v>
      </c>
      <c r="R15" s="18">
        <f t="shared" si="2"/>
        <v>49.33</v>
      </c>
    </row>
    <row r="16" spans="1:19" x14ac:dyDescent="0.3">
      <c r="A16" s="7">
        <v>38992</v>
      </c>
      <c r="B16" s="10">
        <v>1</v>
      </c>
      <c r="C16" s="20">
        <v>5.39</v>
      </c>
      <c r="D16" s="2">
        <v>10</v>
      </c>
      <c r="E16" s="2">
        <v>57.88</v>
      </c>
      <c r="F16" s="16">
        <f t="shared" si="0"/>
        <v>63.27</v>
      </c>
      <c r="G16" s="8">
        <f t="shared" si="3"/>
        <v>38992</v>
      </c>
      <c r="H16" s="11" t="s">
        <v>34</v>
      </c>
      <c r="I16" s="22">
        <v>19.79</v>
      </c>
      <c r="J16" s="11">
        <v>20</v>
      </c>
      <c r="K16" s="4">
        <v>33.619999999999997</v>
      </c>
      <c r="L16" s="3">
        <f t="shared" si="1"/>
        <v>53.41</v>
      </c>
      <c r="M16" s="9">
        <f t="shared" si="4"/>
        <v>38992</v>
      </c>
      <c r="N16" s="12">
        <v>31</v>
      </c>
      <c r="O16" s="23">
        <v>49.37</v>
      </c>
      <c r="P16" s="6">
        <v>31</v>
      </c>
      <c r="Q16" s="6">
        <v>0</v>
      </c>
      <c r="R16" s="18">
        <f t="shared" si="2"/>
        <v>49.37</v>
      </c>
    </row>
    <row r="17" spans="1:19" x14ac:dyDescent="0.3">
      <c r="A17" s="7">
        <v>39774</v>
      </c>
      <c r="B17" s="10">
        <v>1</v>
      </c>
      <c r="C17" s="20">
        <v>2.78</v>
      </c>
      <c r="D17" s="2">
        <v>10</v>
      </c>
      <c r="E17" s="2">
        <v>57.88</v>
      </c>
      <c r="F17" s="16">
        <f t="shared" si="0"/>
        <v>60.660000000000004</v>
      </c>
      <c r="G17" s="8">
        <f t="shared" si="3"/>
        <v>39774</v>
      </c>
      <c r="H17" s="11" t="s">
        <v>34</v>
      </c>
      <c r="I17" s="22">
        <v>16.07</v>
      </c>
      <c r="J17" s="11">
        <v>20</v>
      </c>
      <c r="K17" s="4">
        <v>33.619999999999997</v>
      </c>
      <c r="L17" s="3">
        <f t="shared" si="1"/>
        <v>49.69</v>
      </c>
      <c r="M17" s="9">
        <f t="shared" si="4"/>
        <v>39774</v>
      </c>
      <c r="N17" s="12">
        <v>31</v>
      </c>
      <c r="O17" s="23">
        <v>46.57</v>
      </c>
      <c r="P17" s="6">
        <v>31</v>
      </c>
      <c r="Q17" s="6">
        <v>0</v>
      </c>
      <c r="R17" s="18">
        <f t="shared" si="2"/>
        <v>46.57</v>
      </c>
    </row>
    <row r="18" spans="1:19" x14ac:dyDescent="0.3">
      <c r="A18" s="7">
        <v>40011</v>
      </c>
      <c r="B18" s="10">
        <v>1</v>
      </c>
      <c r="C18" s="20">
        <v>2.9</v>
      </c>
      <c r="D18" s="2">
        <v>10</v>
      </c>
      <c r="E18" s="2">
        <v>57.88</v>
      </c>
      <c r="F18" s="1">
        <f t="shared" si="0"/>
        <v>60.78</v>
      </c>
      <c r="G18" s="8">
        <f t="shared" si="3"/>
        <v>40011</v>
      </c>
      <c r="H18" s="11" t="s">
        <v>34</v>
      </c>
      <c r="I18" s="22">
        <v>15.4</v>
      </c>
      <c r="J18" s="11">
        <v>20</v>
      </c>
      <c r="K18" s="4">
        <v>33.619999999999997</v>
      </c>
      <c r="L18" s="3">
        <f t="shared" si="1"/>
        <v>49.019999999999996</v>
      </c>
      <c r="M18" s="9">
        <f t="shared" si="4"/>
        <v>40011</v>
      </c>
      <c r="N18" s="12">
        <v>31</v>
      </c>
      <c r="O18" s="23">
        <v>46.6</v>
      </c>
      <c r="P18" s="6">
        <v>31</v>
      </c>
      <c r="Q18" s="6">
        <v>0</v>
      </c>
      <c r="R18" s="18">
        <f t="shared" si="2"/>
        <v>46.6</v>
      </c>
    </row>
    <row r="19" spans="1:19" x14ac:dyDescent="0.3">
      <c r="A19" s="7">
        <v>40087</v>
      </c>
      <c r="B19" s="10">
        <v>1</v>
      </c>
      <c r="C19" s="2">
        <v>1.72</v>
      </c>
      <c r="D19" s="2">
        <v>10</v>
      </c>
      <c r="E19" s="2">
        <v>57.88</v>
      </c>
      <c r="F19" s="16">
        <f t="shared" si="0"/>
        <v>59.6</v>
      </c>
      <c r="G19" s="8">
        <f t="shared" si="3"/>
        <v>40087</v>
      </c>
      <c r="H19" s="11" t="s">
        <v>106</v>
      </c>
      <c r="I19" s="22">
        <v>15</v>
      </c>
      <c r="J19" s="11">
        <v>20</v>
      </c>
      <c r="K19" s="4">
        <v>33.619999999999997</v>
      </c>
      <c r="L19" s="32">
        <f t="shared" si="1"/>
        <v>48.62</v>
      </c>
      <c r="M19" s="9">
        <f t="shared" si="4"/>
        <v>40087</v>
      </c>
      <c r="N19" s="12">
        <v>31</v>
      </c>
      <c r="O19" s="23">
        <v>46</v>
      </c>
      <c r="P19" s="6">
        <v>31</v>
      </c>
      <c r="Q19" s="6">
        <v>0</v>
      </c>
      <c r="R19" s="34">
        <f t="shared" si="2"/>
        <v>46</v>
      </c>
      <c r="S19" s="35" t="s">
        <v>107</v>
      </c>
    </row>
    <row r="20" spans="1:19" x14ac:dyDescent="0.3">
      <c r="A20" s="7">
        <v>40381</v>
      </c>
      <c r="B20" s="10">
        <v>10</v>
      </c>
      <c r="C20" s="2">
        <v>59.54</v>
      </c>
      <c r="D20" s="2">
        <v>10</v>
      </c>
      <c r="E20" s="2">
        <v>0</v>
      </c>
      <c r="F20" s="1">
        <f t="shared" si="0"/>
        <v>59.54</v>
      </c>
      <c r="G20" s="8">
        <f t="shared" si="3"/>
        <v>40381</v>
      </c>
      <c r="H20" s="11" t="s">
        <v>106</v>
      </c>
      <c r="I20" s="22">
        <v>14.68</v>
      </c>
      <c r="J20" s="11">
        <v>20</v>
      </c>
      <c r="K20" s="4">
        <v>33.619999999999997</v>
      </c>
      <c r="L20" s="50">
        <f t="shared" si="1"/>
        <v>48.3</v>
      </c>
      <c r="M20" s="9">
        <f t="shared" si="4"/>
        <v>40381</v>
      </c>
      <c r="N20" s="12">
        <v>31</v>
      </c>
      <c r="O20" s="23">
        <v>44.72</v>
      </c>
      <c r="P20" s="6">
        <v>31</v>
      </c>
      <c r="Q20" s="6">
        <v>0</v>
      </c>
      <c r="R20" s="34">
        <f t="shared" si="2"/>
        <v>44.72</v>
      </c>
    </row>
    <row r="21" spans="1:19" x14ac:dyDescent="0.3">
      <c r="A21" s="7">
        <v>40737</v>
      </c>
      <c r="B21" s="10">
        <v>11</v>
      </c>
      <c r="C21" s="2">
        <v>33.479999999999997</v>
      </c>
      <c r="D21" s="2">
        <v>10</v>
      </c>
      <c r="E21" s="2">
        <v>25.36</v>
      </c>
      <c r="F21" s="1">
        <f t="shared" si="0"/>
        <v>58.839999999999996</v>
      </c>
      <c r="G21" s="8">
        <f t="shared" si="3"/>
        <v>40737</v>
      </c>
      <c r="H21" s="30" t="s">
        <v>106</v>
      </c>
      <c r="I21" s="22">
        <v>14.6</v>
      </c>
      <c r="J21" s="11">
        <v>20</v>
      </c>
      <c r="K21" s="4">
        <v>33.619999999999997</v>
      </c>
      <c r="L21" s="32">
        <f t="shared" si="1"/>
        <v>48.22</v>
      </c>
      <c r="M21" s="9">
        <f t="shared" si="4"/>
        <v>40737</v>
      </c>
      <c r="N21" s="12">
        <v>31</v>
      </c>
      <c r="O21" s="23">
        <v>44.7</v>
      </c>
      <c r="P21" s="6">
        <v>31</v>
      </c>
      <c r="Q21" s="6">
        <v>0</v>
      </c>
      <c r="R21" s="34">
        <f t="shared" si="2"/>
        <v>44.7</v>
      </c>
      <c r="S21" s="35" t="s">
        <v>121</v>
      </c>
    </row>
    <row r="22" spans="1:19" x14ac:dyDescent="0.3">
      <c r="A22" s="7">
        <v>41177</v>
      </c>
      <c r="B22" s="10">
        <v>11</v>
      </c>
      <c r="C22" s="2">
        <v>33.28</v>
      </c>
      <c r="D22" s="2">
        <v>10</v>
      </c>
      <c r="E22" s="2">
        <v>25.36</v>
      </c>
      <c r="F22" s="1">
        <f t="shared" si="0"/>
        <v>58.64</v>
      </c>
      <c r="G22" s="8">
        <f t="shared" si="3"/>
        <v>41177</v>
      </c>
      <c r="H22" s="30" t="s">
        <v>106</v>
      </c>
      <c r="I22" s="22">
        <v>14.6</v>
      </c>
      <c r="J22" s="11">
        <v>20</v>
      </c>
      <c r="K22" s="4">
        <v>33.619999999999997</v>
      </c>
      <c r="L22" s="32">
        <f t="shared" si="1"/>
        <v>48.22</v>
      </c>
      <c r="M22" s="9">
        <f t="shared" si="4"/>
        <v>41177</v>
      </c>
      <c r="N22" s="12">
        <v>31</v>
      </c>
      <c r="O22" s="23">
        <v>44.03</v>
      </c>
      <c r="P22" s="6">
        <v>31</v>
      </c>
      <c r="Q22" s="6">
        <v>0</v>
      </c>
      <c r="R22" s="34">
        <f t="shared" si="2"/>
        <v>44.03</v>
      </c>
      <c r="S22" s="29" t="s">
        <v>127</v>
      </c>
    </row>
    <row r="23" spans="1:19" x14ac:dyDescent="0.3">
      <c r="A23" s="7">
        <v>41467</v>
      </c>
      <c r="B23" s="10">
        <v>11</v>
      </c>
      <c r="C23" s="2">
        <v>32.74</v>
      </c>
      <c r="D23" s="2">
        <v>10</v>
      </c>
      <c r="E23" s="2">
        <v>25.33</v>
      </c>
      <c r="F23" s="1">
        <f t="shared" si="0"/>
        <v>58.07</v>
      </c>
      <c r="G23" s="8">
        <f t="shared" si="3"/>
        <v>41467</v>
      </c>
      <c r="H23" s="30" t="s">
        <v>106</v>
      </c>
      <c r="I23" s="22">
        <v>13.72</v>
      </c>
      <c r="J23" s="11">
        <v>20</v>
      </c>
      <c r="K23" s="4">
        <v>33.619999999999997</v>
      </c>
      <c r="L23" s="32">
        <f t="shared" ref="L23:L31" si="5">K23+I23</f>
        <v>47.339999999999996</v>
      </c>
      <c r="M23" s="9">
        <f t="shared" si="4"/>
        <v>41467</v>
      </c>
      <c r="N23" s="12">
        <v>31</v>
      </c>
      <c r="O23" s="23">
        <v>44</v>
      </c>
      <c r="P23" s="6">
        <v>31</v>
      </c>
      <c r="Q23" s="6">
        <v>0</v>
      </c>
      <c r="R23" s="34">
        <f>Q23+O23</f>
        <v>44</v>
      </c>
      <c r="S23" s="29" t="s">
        <v>132</v>
      </c>
    </row>
    <row r="24" spans="1:19" x14ac:dyDescent="0.3">
      <c r="A24" s="7">
        <v>41829</v>
      </c>
      <c r="B24" s="10" t="s">
        <v>142</v>
      </c>
      <c r="C24" s="2">
        <v>29.83</v>
      </c>
      <c r="D24" s="2">
        <v>10</v>
      </c>
      <c r="E24" s="2">
        <v>25.36</v>
      </c>
      <c r="F24" s="1">
        <f t="shared" si="0"/>
        <v>55.19</v>
      </c>
      <c r="G24" s="8">
        <f t="shared" si="3"/>
        <v>41829</v>
      </c>
      <c r="H24" s="30" t="s">
        <v>106</v>
      </c>
      <c r="I24" s="22">
        <v>11.24</v>
      </c>
      <c r="J24" s="11">
        <v>20</v>
      </c>
      <c r="K24" s="4">
        <v>33.619999999999997</v>
      </c>
      <c r="L24" s="50">
        <f t="shared" si="5"/>
        <v>44.86</v>
      </c>
      <c r="M24" s="9">
        <f t="shared" si="4"/>
        <v>41829</v>
      </c>
      <c r="N24" s="12">
        <v>31</v>
      </c>
      <c r="O24" s="23">
        <v>43.76</v>
      </c>
      <c r="P24" s="6">
        <v>31</v>
      </c>
      <c r="Q24" s="6">
        <v>0</v>
      </c>
      <c r="R24" s="34">
        <f>Q24+O24</f>
        <v>43.76</v>
      </c>
      <c r="S24" s="54" t="s">
        <v>137</v>
      </c>
    </row>
    <row r="25" spans="1:19" x14ac:dyDescent="0.3">
      <c r="A25" s="7">
        <v>42199</v>
      </c>
      <c r="B25" s="10" t="s">
        <v>142</v>
      </c>
      <c r="C25" s="2">
        <v>29.43</v>
      </c>
      <c r="D25" s="2">
        <v>10</v>
      </c>
      <c r="E25" s="2">
        <v>25.36</v>
      </c>
      <c r="F25" s="1">
        <f t="shared" si="0"/>
        <v>54.79</v>
      </c>
      <c r="G25" s="8">
        <f t="shared" si="3"/>
        <v>42199</v>
      </c>
      <c r="H25" s="30" t="s">
        <v>106</v>
      </c>
      <c r="I25" s="22">
        <v>10.8</v>
      </c>
      <c r="J25" s="11">
        <v>20</v>
      </c>
      <c r="K25" s="4">
        <v>33.619999999999997</v>
      </c>
      <c r="L25" s="50">
        <f t="shared" si="5"/>
        <v>44.42</v>
      </c>
      <c r="M25" s="9">
        <f t="shared" si="4"/>
        <v>42199</v>
      </c>
      <c r="N25" s="12">
        <v>31</v>
      </c>
      <c r="O25" s="23">
        <v>43.69</v>
      </c>
      <c r="P25" s="6">
        <v>31</v>
      </c>
      <c r="Q25" s="6">
        <v>0</v>
      </c>
      <c r="R25" s="34">
        <f>Q25+O25</f>
        <v>43.69</v>
      </c>
    </row>
    <row r="26" spans="1:19" x14ac:dyDescent="0.3">
      <c r="A26" s="7">
        <v>42656</v>
      </c>
      <c r="B26" s="10" t="s">
        <v>142</v>
      </c>
      <c r="C26" s="2">
        <v>29.1</v>
      </c>
      <c r="D26" s="2">
        <v>10</v>
      </c>
      <c r="E26" s="2">
        <v>25.36</v>
      </c>
      <c r="F26" s="1">
        <f t="shared" si="0"/>
        <v>54.46</v>
      </c>
      <c r="G26" s="8">
        <f t="shared" si="3"/>
        <v>42656</v>
      </c>
      <c r="H26" s="30" t="s">
        <v>106</v>
      </c>
      <c r="I26" s="22">
        <v>10.01</v>
      </c>
      <c r="J26" s="11">
        <v>20</v>
      </c>
      <c r="K26" s="4">
        <v>33.619999999999997</v>
      </c>
      <c r="L26" s="50">
        <f t="shared" si="5"/>
        <v>43.629999999999995</v>
      </c>
      <c r="M26" s="9">
        <f t="shared" si="4"/>
        <v>42656</v>
      </c>
      <c r="N26" s="12" t="s">
        <v>108</v>
      </c>
      <c r="O26" s="23"/>
      <c r="R26" s="34"/>
      <c r="S26" t="s">
        <v>154</v>
      </c>
    </row>
    <row r="27" spans="1:19" x14ac:dyDescent="0.3">
      <c r="A27" s="7">
        <v>42906</v>
      </c>
      <c r="B27" s="10" t="s">
        <v>142</v>
      </c>
      <c r="C27" s="2">
        <v>27.54</v>
      </c>
      <c r="D27" s="2">
        <v>10</v>
      </c>
      <c r="E27" s="2">
        <v>25.36</v>
      </c>
      <c r="F27" s="16">
        <f t="shared" si="0"/>
        <v>52.9</v>
      </c>
      <c r="G27" s="8">
        <f t="shared" si="3"/>
        <v>42906</v>
      </c>
      <c r="H27" s="30" t="s">
        <v>106</v>
      </c>
      <c r="I27" s="22">
        <v>7.79</v>
      </c>
      <c r="J27" s="11">
        <v>20</v>
      </c>
      <c r="K27" s="4">
        <v>33.619999999999997</v>
      </c>
      <c r="L27" s="50">
        <f t="shared" si="5"/>
        <v>41.41</v>
      </c>
      <c r="M27" s="9">
        <f t="shared" si="4"/>
        <v>42906</v>
      </c>
      <c r="N27" s="12">
        <v>31</v>
      </c>
      <c r="O27" s="6">
        <v>43.54</v>
      </c>
      <c r="P27" s="12">
        <v>31</v>
      </c>
      <c r="Q27" s="6">
        <v>0</v>
      </c>
      <c r="R27" s="34">
        <f>Q27+O27</f>
        <v>43.54</v>
      </c>
    </row>
    <row r="28" spans="1:19" x14ac:dyDescent="0.3">
      <c r="A28" s="7">
        <v>43746</v>
      </c>
      <c r="B28" s="10" t="s">
        <v>142</v>
      </c>
      <c r="C28" s="158">
        <v>26.45</v>
      </c>
      <c r="D28" s="2">
        <v>10</v>
      </c>
      <c r="E28" s="2">
        <v>25.36</v>
      </c>
      <c r="F28" s="16">
        <f t="shared" si="0"/>
        <v>51.81</v>
      </c>
      <c r="G28" s="8">
        <f t="shared" si="3"/>
        <v>43746</v>
      </c>
      <c r="H28" s="30" t="s">
        <v>106</v>
      </c>
      <c r="I28" s="22">
        <v>6.76</v>
      </c>
      <c r="J28" s="11">
        <v>20</v>
      </c>
      <c r="K28" s="4">
        <v>33.619999999999997</v>
      </c>
      <c r="L28" s="32">
        <f t="shared" si="5"/>
        <v>40.379999999999995</v>
      </c>
      <c r="M28" s="9">
        <f t="shared" si="4"/>
        <v>43746</v>
      </c>
      <c r="N28" s="12">
        <v>31</v>
      </c>
      <c r="O28" s="23">
        <v>43.3</v>
      </c>
      <c r="P28" s="6">
        <v>31</v>
      </c>
      <c r="Q28" s="6">
        <v>0</v>
      </c>
      <c r="R28" s="163">
        <f>Q28+O28</f>
        <v>43.3</v>
      </c>
      <c r="S28" s="54" t="s">
        <v>236</v>
      </c>
    </row>
    <row r="29" spans="1:19" x14ac:dyDescent="0.3">
      <c r="A29" s="7">
        <v>44061</v>
      </c>
      <c r="B29" s="10" t="s">
        <v>142</v>
      </c>
      <c r="C29" s="2">
        <v>25.44</v>
      </c>
      <c r="D29" s="2">
        <v>10</v>
      </c>
      <c r="E29" s="2">
        <v>25.36</v>
      </c>
      <c r="F29" s="16">
        <f t="shared" si="0"/>
        <v>50.8</v>
      </c>
      <c r="G29" s="8">
        <f t="shared" si="3"/>
        <v>44061</v>
      </c>
      <c r="H29" s="30" t="s">
        <v>106</v>
      </c>
      <c r="I29" s="22">
        <v>5.5</v>
      </c>
      <c r="J29" s="11">
        <v>20</v>
      </c>
      <c r="K29" s="4">
        <v>33.619999999999997</v>
      </c>
      <c r="L29" s="32">
        <f t="shared" si="5"/>
        <v>39.119999999999997</v>
      </c>
      <c r="M29" s="9">
        <f t="shared" si="4"/>
        <v>44061</v>
      </c>
      <c r="N29" s="12">
        <v>31</v>
      </c>
      <c r="O29" s="6">
        <v>43.46</v>
      </c>
      <c r="P29" s="6">
        <v>31</v>
      </c>
      <c r="Q29" s="6">
        <v>0</v>
      </c>
      <c r="R29" s="34">
        <f>Q29+O29</f>
        <v>43.46</v>
      </c>
    </row>
    <row r="30" spans="1:19" x14ac:dyDescent="0.3">
      <c r="A30" s="7">
        <v>44777</v>
      </c>
      <c r="B30" s="10" t="s">
        <v>142</v>
      </c>
      <c r="C30" s="2">
        <v>23.75</v>
      </c>
      <c r="D30" s="2">
        <v>10</v>
      </c>
      <c r="E30" s="2">
        <v>25.36</v>
      </c>
      <c r="F30" s="1">
        <f t="shared" si="0"/>
        <v>49.11</v>
      </c>
      <c r="G30" s="8">
        <f t="shared" si="3"/>
        <v>44777</v>
      </c>
      <c r="H30" s="30" t="s">
        <v>106</v>
      </c>
      <c r="I30" s="22">
        <v>4.5199999999999996</v>
      </c>
      <c r="J30" s="11">
        <v>20</v>
      </c>
      <c r="K30" s="4">
        <v>33.619999999999997</v>
      </c>
      <c r="L30" s="32">
        <f t="shared" si="5"/>
        <v>38.14</v>
      </c>
      <c r="M30" s="9">
        <f t="shared" si="4"/>
        <v>44777</v>
      </c>
      <c r="N30" s="12">
        <v>31</v>
      </c>
      <c r="O30" s="6">
        <v>43.42</v>
      </c>
      <c r="P30" s="6">
        <v>31</v>
      </c>
      <c r="Q30" s="6">
        <v>0</v>
      </c>
      <c r="R30" s="34">
        <f>Q30+O30</f>
        <v>43.42</v>
      </c>
    </row>
    <row r="31" spans="1:19" x14ac:dyDescent="0.3">
      <c r="A31" s="7">
        <v>45153</v>
      </c>
      <c r="B31" s="10" t="s">
        <v>142</v>
      </c>
      <c r="C31" s="2">
        <v>23.07</v>
      </c>
      <c r="D31" s="2">
        <v>10</v>
      </c>
      <c r="E31" s="2">
        <v>25.36</v>
      </c>
      <c r="F31" s="1">
        <f t="shared" si="0"/>
        <v>48.43</v>
      </c>
      <c r="G31" s="8">
        <f t="shared" si="3"/>
        <v>45153</v>
      </c>
      <c r="H31" s="30" t="s">
        <v>106</v>
      </c>
      <c r="I31" s="22">
        <v>3.5</v>
      </c>
      <c r="J31" s="11">
        <v>20</v>
      </c>
      <c r="K31" s="4">
        <v>33.619999999999997</v>
      </c>
      <c r="L31" s="32">
        <f t="shared" si="5"/>
        <v>37.119999999999997</v>
      </c>
      <c r="M31" s="9">
        <f t="shared" si="4"/>
        <v>45153</v>
      </c>
      <c r="N31" s="12">
        <v>31</v>
      </c>
      <c r="O31" s="23">
        <v>43.1</v>
      </c>
      <c r="P31" s="6">
        <v>31</v>
      </c>
      <c r="Q31" s="6">
        <v>0</v>
      </c>
      <c r="R31" s="34">
        <f>Q31+O31</f>
        <v>43.1</v>
      </c>
    </row>
    <row r="32" spans="1:19" x14ac:dyDescent="0.3">
      <c r="G32" s="8" t="str">
        <f t="shared" si="3"/>
        <v/>
      </c>
      <c r="I32" s="22"/>
      <c r="M32" s="9" t="str">
        <f t="shared" si="4"/>
        <v/>
      </c>
      <c r="R32" s="23"/>
    </row>
    <row r="33" spans="7:18" x14ac:dyDescent="0.3">
      <c r="G33" s="8" t="str">
        <f t="shared" si="3"/>
        <v/>
      </c>
      <c r="I33" s="22"/>
      <c r="M33" s="9" t="str">
        <f t="shared" si="4"/>
        <v/>
      </c>
      <c r="R33" s="23"/>
    </row>
    <row r="34" spans="7:18" x14ac:dyDescent="0.3">
      <c r="G34" s="8" t="str">
        <f t="shared" si="3"/>
        <v/>
      </c>
      <c r="M34" s="9" t="str">
        <f t="shared" si="4"/>
        <v/>
      </c>
      <c r="R34" s="23"/>
    </row>
    <row r="35" spans="7:18" x14ac:dyDescent="0.3">
      <c r="G35" s="8" t="str">
        <f t="shared" si="3"/>
        <v/>
      </c>
      <c r="M35" s="9" t="str">
        <f t="shared" si="4"/>
        <v/>
      </c>
    </row>
    <row r="36" spans="7:18" x14ac:dyDescent="0.3">
      <c r="G36" s="8" t="str">
        <f t="shared" si="3"/>
        <v/>
      </c>
      <c r="M36" s="9" t="str">
        <f t="shared" si="4"/>
        <v/>
      </c>
    </row>
    <row r="37" spans="7:18" x14ac:dyDescent="0.3">
      <c r="G37" s="8" t="str">
        <f t="shared" si="3"/>
        <v/>
      </c>
      <c r="M37" s="9" t="str">
        <f t="shared" si="4"/>
        <v/>
      </c>
    </row>
    <row r="38" spans="7:18" x14ac:dyDescent="0.3">
      <c r="G38" s="8" t="str">
        <f t="shared" si="3"/>
        <v/>
      </c>
      <c r="M38" s="9" t="str">
        <f t="shared" si="4"/>
        <v/>
      </c>
    </row>
    <row r="39" spans="7:18" x14ac:dyDescent="0.3">
      <c r="G39" s="8" t="str">
        <f t="shared" si="3"/>
        <v/>
      </c>
      <c r="M39" s="9" t="str">
        <f t="shared" si="4"/>
        <v/>
      </c>
    </row>
    <row r="40" spans="7:18" x14ac:dyDescent="0.3">
      <c r="G40" s="8" t="str">
        <f t="shared" si="3"/>
        <v/>
      </c>
      <c r="M40" s="9" t="str">
        <f t="shared" si="4"/>
        <v/>
      </c>
    </row>
    <row r="41" spans="7:18" x14ac:dyDescent="0.3">
      <c r="G41" s="8" t="str">
        <f t="shared" si="3"/>
        <v/>
      </c>
      <c r="M41" s="9" t="str">
        <f t="shared" si="4"/>
        <v/>
      </c>
    </row>
    <row r="42" spans="7:18" x14ac:dyDescent="0.3">
      <c r="G42" s="8" t="str">
        <f t="shared" si="3"/>
        <v/>
      </c>
      <c r="M42" s="9" t="str">
        <f t="shared" si="4"/>
        <v/>
      </c>
    </row>
    <row r="43" spans="7:18" x14ac:dyDescent="0.3">
      <c r="G43" s="8" t="str">
        <f t="shared" si="3"/>
        <v/>
      </c>
      <c r="M43" s="9" t="str">
        <f t="shared" si="4"/>
        <v/>
      </c>
    </row>
    <row r="44" spans="7:18" x14ac:dyDescent="0.3">
      <c r="G44" s="8" t="str">
        <f t="shared" si="3"/>
        <v/>
      </c>
      <c r="M44" s="9" t="str">
        <f t="shared" si="4"/>
        <v/>
      </c>
    </row>
    <row r="45" spans="7:18" x14ac:dyDescent="0.3">
      <c r="G45" s="8" t="str">
        <f t="shared" si="3"/>
        <v/>
      </c>
      <c r="M45" s="9" t="str">
        <f t="shared" si="4"/>
        <v/>
      </c>
    </row>
    <row r="46" spans="7:18" x14ac:dyDescent="0.3">
      <c r="G46" s="8" t="str">
        <f t="shared" si="3"/>
        <v/>
      </c>
      <c r="M46" s="9" t="str">
        <f t="shared" si="4"/>
        <v/>
      </c>
    </row>
    <row r="47" spans="7:18" x14ac:dyDescent="0.3">
      <c r="G47" s="8" t="str">
        <f t="shared" si="3"/>
        <v/>
      </c>
      <c r="M47" s="9" t="str">
        <f t="shared" si="4"/>
        <v/>
      </c>
    </row>
    <row r="48" spans="7:18" x14ac:dyDescent="0.3">
      <c r="G48" s="8" t="str">
        <f t="shared" si="3"/>
        <v/>
      </c>
      <c r="M48" s="9" t="str">
        <f t="shared" si="4"/>
        <v/>
      </c>
    </row>
    <row r="49" spans="7:13" x14ac:dyDescent="0.3">
      <c r="G49" s="8" t="str">
        <f t="shared" si="3"/>
        <v/>
      </c>
      <c r="M49" s="9" t="str">
        <f t="shared" si="4"/>
        <v/>
      </c>
    </row>
    <row r="50" spans="7:13" x14ac:dyDescent="0.3">
      <c r="G50" s="8" t="str">
        <f t="shared" si="3"/>
        <v/>
      </c>
      <c r="M50" s="9" t="str">
        <f t="shared" si="4"/>
        <v/>
      </c>
    </row>
    <row r="51" spans="7:13" x14ac:dyDescent="0.3">
      <c r="G51" s="8" t="str">
        <f t="shared" si="3"/>
        <v/>
      </c>
      <c r="M51" s="9" t="str">
        <f t="shared" si="4"/>
        <v/>
      </c>
    </row>
    <row r="52" spans="7:13" x14ac:dyDescent="0.3">
      <c r="G52" s="8" t="str">
        <f t="shared" si="3"/>
        <v/>
      </c>
      <c r="M52" s="9" t="str">
        <f t="shared" si="4"/>
        <v/>
      </c>
    </row>
    <row r="53" spans="7:13" x14ac:dyDescent="0.3">
      <c r="G53" s="8" t="str">
        <f t="shared" si="3"/>
        <v/>
      </c>
      <c r="M53" s="9" t="str">
        <f t="shared" si="4"/>
        <v/>
      </c>
    </row>
    <row r="54" spans="7:13" x14ac:dyDescent="0.3">
      <c r="G54" s="8" t="str">
        <f t="shared" si="3"/>
        <v/>
      </c>
      <c r="M54" s="9" t="str">
        <f t="shared" si="4"/>
        <v/>
      </c>
    </row>
    <row r="55" spans="7:13" x14ac:dyDescent="0.3">
      <c r="G55" s="8" t="str">
        <f t="shared" si="3"/>
        <v/>
      </c>
      <c r="M55" s="9" t="str">
        <f t="shared" si="4"/>
        <v/>
      </c>
    </row>
    <row r="56" spans="7:13" x14ac:dyDescent="0.3">
      <c r="G56" s="8" t="str">
        <f t="shared" si="3"/>
        <v/>
      </c>
      <c r="M56" s="9" t="str">
        <f t="shared" si="4"/>
        <v/>
      </c>
    </row>
    <row r="57" spans="7:13" x14ac:dyDescent="0.3">
      <c r="G57" s="8" t="str">
        <f t="shared" si="3"/>
        <v/>
      </c>
      <c r="M57" s="9" t="str">
        <f t="shared" si="4"/>
        <v/>
      </c>
    </row>
    <row r="58" spans="7:13" x14ac:dyDescent="0.3">
      <c r="G58" s="8" t="str">
        <f t="shared" si="3"/>
        <v/>
      </c>
      <c r="M58" s="9" t="str">
        <f t="shared" si="4"/>
        <v/>
      </c>
    </row>
    <row r="59" spans="7:13" x14ac:dyDescent="0.3">
      <c r="G59" s="8" t="str">
        <f t="shared" si="3"/>
        <v/>
      </c>
      <c r="M59" s="9" t="str">
        <f t="shared" si="4"/>
        <v/>
      </c>
    </row>
    <row r="60" spans="7:13" x14ac:dyDescent="0.3">
      <c r="G60" s="8" t="str">
        <f t="shared" si="3"/>
        <v/>
      </c>
      <c r="M60" s="9" t="str">
        <f t="shared" si="4"/>
        <v/>
      </c>
    </row>
    <row r="61" spans="7:13" x14ac:dyDescent="0.3">
      <c r="G61" s="8" t="str">
        <f t="shared" si="3"/>
        <v/>
      </c>
      <c r="M61" s="9" t="str">
        <f t="shared" si="4"/>
        <v/>
      </c>
    </row>
    <row r="62" spans="7:13" x14ac:dyDescent="0.3">
      <c r="G62" s="8" t="str">
        <f t="shared" si="3"/>
        <v/>
      </c>
      <c r="M62" s="9" t="str">
        <f t="shared" si="4"/>
        <v/>
      </c>
    </row>
    <row r="63" spans="7:13" x14ac:dyDescent="0.3">
      <c r="G63" s="8" t="str">
        <f t="shared" si="3"/>
        <v/>
      </c>
      <c r="M63" s="9" t="str">
        <f t="shared" si="4"/>
        <v/>
      </c>
    </row>
    <row r="64" spans="7:13" x14ac:dyDescent="0.3">
      <c r="G64" s="8" t="str">
        <f t="shared" si="3"/>
        <v/>
      </c>
      <c r="M64" s="9" t="str">
        <f t="shared" si="4"/>
        <v/>
      </c>
    </row>
    <row r="65" spans="7:13" x14ac:dyDescent="0.3">
      <c r="G65" s="8" t="str">
        <f t="shared" si="3"/>
        <v/>
      </c>
      <c r="M65" s="9" t="str">
        <f t="shared" si="4"/>
        <v/>
      </c>
    </row>
    <row r="66" spans="7:13" x14ac:dyDescent="0.3">
      <c r="G66" s="8" t="str">
        <f t="shared" si="3"/>
        <v/>
      </c>
      <c r="M66" s="9" t="str">
        <f t="shared" si="4"/>
        <v/>
      </c>
    </row>
    <row r="67" spans="7:13" x14ac:dyDescent="0.3">
      <c r="G67" s="8" t="str">
        <f t="shared" si="3"/>
        <v/>
      </c>
      <c r="M67" s="9" t="str">
        <f t="shared" si="4"/>
        <v/>
      </c>
    </row>
    <row r="68" spans="7:13" x14ac:dyDescent="0.3">
      <c r="G68" s="8" t="str">
        <f t="shared" si="3"/>
        <v/>
      </c>
      <c r="M68" s="9" t="str">
        <f t="shared" si="4"/>
        <v/>
      </c>
    </row>
    <row r="69" spans="7:13" x14ac:dyDescent="0.3">
      <c r="G69" s="8" t="str">
        <f t="shared" si="3"/>
        <v/>
      </c>
      <c r="M69" s="9" t="str">
        <f t="shared" si="4"/>
        <v/>
      </c>
    </row>
    <row r="70" spans="7:13" x14ac:dyDescent="0.3">
      <c r="G70" s="8" t="str">
        <f t="shared" si="3"/>
        <v/>
      </c>
      <c r="M70" s="9" t="str">
        <f t="shared" si="4"/>
        <v/>
      </c>
    </row>
    <row r="71" spans="7:13" x14ac:dyDescent="0.3">
      <c r="G71" s="8" t="str">
        <f t="shared" si="3"/>
        <v/>
      </c>
      <c r="M71" s="9" t="str">
        <f t="shared" si="4"/>
        <v/>
      </c>
    </row>
    <row r="72" spans="7:13" x14ac:dyDescent="0.3">
      <c r="G72" s="8" t="str">
        <f t="shared" si="3"/>
        <v/>
      </c>
      <c r="M72" s="9" t="str">
        <f t="shared" si="4"/>
        <v/>
      </c>
    </row>
    <row r="73" spans="7:13" x14ac:dyDescent="0.3">
      <c r="G73" s="8" t="str">
        <f t="shared" si="3"/>
        <v/>
      </c>
      <c r="M73" s="9" t="str">
        <f t="shared" si="4"/>
        <v/>
      </c>
    </row>
    <row r="74" spans="7:13" x14ac:dyDescent="0.3">
      <c r="G74" s="8" t="str">
        <f t="shared" si="3"/>
        <v/>
      </c>
      <c r="M74" s="9" t="str">
        <f t="shared" si="4"/>
        <v/>
      </c>
    </row>
    <row r="75" spans="7:13" x14ac:dyDescent="0.3">
      <c r="G75" s="8" t="str">
        <f t="shared" si="3"/>
        <v/>
      </c>
      <c r="M75" s="9" t="str">
        <f t="shared" si="4"/>
        <v/>
      </c>
    </row>
    <row r="76" spans="7:13" x14ac:dyDescent="0.3">
      <c r="G76" s="8" t="str">
        <f t="shared" si="3"/>
        <v/>
      </c>
      <c r="M76" s="9" t="str">
        <f t="shared" si="4"/>
        <v/>
      </c>
    </row>
    <row r="77" spans="7:13" x14ac:dyDescent="0.3">
      <c r="G77" s="8" t="str">
        <f t="shared" ref="G77:G85" si="6">IF(ISNUMBER(A77),A77,"")</f>
        <v/>
      </c>
      <c r="M77" s="9" t="str">
        <f t="shared" ref="M77:M85" si="7">IF(ISNUMBER(G77),G77,"")</f>
        <v/>
      </c>
    </row>
    <row r="78" spans="7:13" x14ac:dyDescent="0.3">
      <c r="G78" s="8" t="str">
        <f t="shared" si="6"/>
        <v/>
      </c>
      <c r="M78" s="9" t="str">
        <f t="shared" si="7"/>
        <v/>
      </c>
    </row>
    <row r="79" spans="7:13" x14ac:dyDescent="0.3">
      <c r="G79" s="8" t="str">
        <f t="shared" si="6"/>
        <v/>
      </c>
      <c r="M79" s="9" t="str">
        <f t="shared" si="7"/>
        <v/>
      </c>
    </row>
    <row r="80" spans="7:13" x14ac:dyDescent="0.3">
      <c r="G80" s="8" t="str">
        <f t="shared" si="6"/>
        <v/>
      </c>
      <c r="M80" s="9" t="str">
        <f t="shared" si="7"/>
        <v/>
      </c>
    </row>
    <row r="81" spans="7:13" x14ac:dyDescent="0.3">
      <c r="G81" s="8" t="str">
        <f t="shared" si="6"/>
        <v/>
      </c>
      <c r="M81" s="9" t="str">
        <f t="shared" si="7"/>
        <v/>
      </c>
    </row>
    <row r="82" spans="7:13" x14ac:dyDescent="0.3">
      <c r="G82" s="8" t="str">
        <f t="shared" si="6"/>
        <v/>
      </c>
      <c r="M82" s="9" t="str">
        <f t="shared" si="7"/>
        <v/>
      </c>
    </row>
    <row r="83" spans="7:13" x14ac:dyDescent="0.3">
      <c r="G83" s="8" t="str">
        <f t="shared" si="6"/>
        <v/>
      </c>
      <c r="M83" s="9" t="str">
        <f t="shared" si="7"/>
        <v/>
      </c>
    </row>
    <row r="84" spans="7:13" x14ac:dyDescent="0.3">
      <c r="G84" s="8" t="str">
        <f t="shared" si="6"/>
        <v/>
      </c>
      <c r="M84" s="9" t="str">
        <f t="shared" si="7"/>
        <v/>
      </c>
    </row>
    <row r="85" spans="7:13" x14ac:dyDescent="0.3">
      <c r="G85" s="8" t="str">
        <f t="shared" si="6"/>
        <v/>
      </c>
      <c r="M85" s="9" t="str">
        <f t="shared" si="7"/>
        <v/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workbookViewId="0">
      <selection activeCell="F36" sqref="F36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5" width="9.1796875" style="2" customWidth="1"/>
    <col min="6" max="6" width="9.1796875" style="1" customWidth="1"/>
    <col min="7" max="7" width="9.1796875" style="4" customWidth="1"/>
    <col min="8" max="8" width="9.1796875" style="11" customWidth="1"/>
    <col min="9" max="12" width="9.1796875" style="4" customWidth="1"/>
    <col min="13" max="13" width="9.1796875" style="6" customWidth="1"/>
    <col min="14" max="14" width="9.1796875" style="12" customWidth="1"/>
    <col min="15" max="18" width="9.1796875" style="6" customWidth="1"/>
  </cols>
  <sheetData>
    <row r="1" spans="1:18" x14ac:dyDescent="0.3">
      <c r="A1" s="1" t="s">
        <v>36</v>
      </c>
      <c r="G1" s="3" t="s">
        <v>37</v>
      </c>
      <c r="M1" s="5" t="s">
        <v>38</v>
      </c>
    </row>
    <row r="3" spans="1:18" x14ac:dyDescent="0.3">
      <c r="A3" s="2" t="s">
        <v>0</v>
      </c>
      <c r="B3" s="10" t="s">
        <v>1</v>
      </c>
      <c r="C3" s="2" t="s">
        <v>2</v>
      </c>
      <c r="D3" s="2" t="s">
        <v>4</v>
      </c>
      <c r="E3" s="2" t="s">
        <v>6</v>
      </c>
      <c r="F3" s="1" t="s">
        <v>6</v>
      </c>
      <c r="G3" s="4" t="s">
        <v>0</v>
      </c>
      <c r="H3" s="11" t="s">
        <v>1</v>
      </c>
      <c r="I3" s="4" t="s">
        <v>2</v>
      </c>
      <c r="J3" s="4" t="s">
        <v>4</v>
      </c>
      <c r="K3" s="4" t="s">
        <v>6</v>
      </c>
      <c r="L3" s="3" t="s">
        <v>6</v>
      </c>
      <c r="M3" s="6" t="s">
        <v>0</v>
      </c>
      <c r="N3" s="12" t="s">
        <v>1</v>
      </c>
      <c r="O3" s="6" t="s">
        <v>2</v>
      </c>
      <c r="P3" s="6" t="s">
        <v>4</v>
      </c>
      <c r="Q3" s="6" t="s">
        <v>6</v>
      </c>
      <c r="R3" s="5" t="s">
        <v>6</v>
      </c>
    </row>
    <row r="4" spans="1:18" x14ac:dyDescent="0.3">
      <c r="C4" s="2" t="s">
        <v>3</v>
      </c>
      <c r="D4" s="2" t="s">
        <v>5</v>
      </c>
      <c r="E4" s="2" t="s">
        <v>7</v>
      </c>
      <c r="F4" s="1" t="s">
        <v>9</v>
      </c>
      <c r="I4" s="4" t="s">
        <v>3</v>
      </c>
      <c r="J4" s="4" t="s">
        <v>5</v>
      </c>
      <c r="K4" s="4" t="s">
        <v>7</v>
      </c>
      <c r="L4" s="3" t="s">
        <v>9</v>
      </c>
      <c r="O4" s="6" t="s">
        <v>3</v>
      </c>
      <c r="P4" s="6" t="s">
        <v>5</v>
      </c>
      <c r="Q4" s="6" t="s">
        <v>7</v>
      </c>
      <c r="R4" s="5" t="s">
        <v>9</v>
      </c>
    </row>
    <row r="5" spans="1:18" x14ac:dyDescent="0.3">
      <c r="E5" s="2" t="s">
        <v>8</v>
      </c>
      <c r="F5" s="1" t="s">
        <v>8</v>
      </c>
      <c r="K5" s="4" t="s">
        <v>8</v>
      </c>
      <c r="L5" s="3" t="s">
        <v>8</v>
      </c>
      <c r="Q5" s="6" t="s">
        <v>8</v>
      </c>
      <c r="R5" s="5" t="s">
        <v>8</v>
      </c>
    </row>
    <row r="7" spans="1:18" x14ac:dyDescent="0.3">
      <c r="A7" s="7">
        <v>21458</v>
      </c>
      <c r="B7" s="10">
        <v>130</v>
      </c>
      <c r="C7" s="20">
        <v>398</v>
      </c>
      <c r="D7" s="2">
        <v>129</v>
      </c>
      <c r="E7" s="2">
        <v>-258.2</v>
      </c>
      <c r="F7" s="16">
        <f>E7+C7</f>
        <v>139.80000000000001</v>
      </c>
      <c r="G7" s="8">
        <f>IF(ISNUMBER(A7),A7,"")</f>
        <v>21458</v>
      </c>
      <c r="H7" s="11">
        <v>132</v>
      </c>
      <c r="I7" s="22">
        <v>338</v>
      </c>
      <c r="J7" s="4">
        <v>131</v>
      </c>
      <c r="K7" s="4">
        <v>-175.8</v>
      </c>
      <c r="L7" s="17">
        <f>K7+I7</f>
        <v>162.19999999999999</v>
      </c>
      <c r="M7" s="9">
        <f>IF(ISNUMBER(G7),G7,"")</f>
        <v>21458</v>
      </c>
      <c r="N7" s="12">
        <v>134</v>
      </c>
      <c r="O7" s="23">
        <v>356.4</v>
      </c>
      <c r="P7" s="6">
        <v>133</v>
      </c>
      <c r="Q7" s="6">
        <v>-165.4</v>
      </c>
      <c r="R7" s="18">
        <f>Q7+O7</f>
        <v>190.99999999999997</v>
      </c>
    </row>
    <row r="8" spans="1:18" x14ac:dyDescent="0.3">
      <c r="A8" s="7">
        <v>22211</v>
      </c>
      <c r="B8" s="10">
        <v>129</v>
      </c>
      <c r="C8" s="20">
        <v>135.1</v>
      </c>
      <c r="D8" s="2">
        <v>129</v>
      </c>
      <c r="E8" s="2">
        <v>0</v>
      </c>
      <c r="F8" s="16">
        <f t="shared" ref="F8:F22" si="0">E8+C8</f>
        <v>135.1</v>
      </c>
      <c r="G8" s="8">
        <f t="shared" ref="G8:G73" si="1">IF(ISNUMBER(A8),A8,"")</f>
        <v>22211</v>
      </c>
      <c r="H8" s="11">
        <v>132</v>
      </c>
      <c r="I8" s="22">
        <v>331</v>
      </c>
      <c r="J8" s="4">
        <v>131</v>
      </c>
      <c r="K8" s="4">
        <v>-175.8</v>
      </c>
      <c r="L8" s="17">
        <f t="shared" ref="L8:L22" si="2">K8+I8</f>
        <v>155.19999999999999</v>
      </c>
      <c r="M8" s="9">
        <f t="shared" ref="M8:M73" si="3">IF(ISNUMBER(G8),G8,"")</f>
        <v>22211</v>
      </c>
      <c r="N8" s="12">
        <v>133</v>
      </c>
      <c r="O8" s="23">
        <v>183.3</v>
      </c>
      <c r="P8" s="6">
        <v>133</v>
      </c>
      <c r="Q8" s="6">
        <v>0</v>
      </c>
      <c r="R8" s="18">
        <f t="shared" ref="R8:R22" si="4">Q8+O8</f>
        <v>183.3</v>
      </c>
    </row>
    <row r="9" spans="1:18" x14ac:dyDescent="0.3">
      <c r="A9" s="7">
        <v>23952</v>
      </c>
      <c r="B9" s="10">
        <v>129</v>
      </c>
      <c r="C9" s="20">
        <v>110</v>
      </c>
      <c r="D9" s="2">
        <v>129</v>
      </c>
      <c r="E9" s="2">
        <v>0</v>
      </c>
      <c r="F9" s="16">
        <f t="shared" si="0"/>
        <v>110</v>
      </c>
      <c r="G9" s="8">
        <f t="shared" si="1"/>
        <v>23952</v>
      </c>
      <c r="H9" s="11">
        <v>132</v>
      </c>
      <c r="I9" s="22">
        <v>310.8</v>
      </c>
      <c r="J9" s="4">
        <v>131</v>
      </c>
      <c r="K9" s="4">
        <v>-175.8</v>
      </c>
      <c r="L9" s="17">
        <f t="shared" si="2"/>
        <v>135</v>
      </c>
      <c r="M9" s="9">
        <f t="shared" si="3"/>
        <v>23952</v>
      </c>
      <c r="N9" s="12">
        <v>133</v>
      </c>
      <c r="O9" s="23">
        <v>164</v>
      </c>
      <c r="P9" s="6">
        <v>133</v>
      </c>
      <c r="Q9" s="6">
        <v>0</v>
      </c>
      <c r="R9" s="18">
        <f t="shared" si="4"/>
        <v>164</v>
      </c>
    </row>
    <row r="10" spans="1:18" x14ac:dyDescent="0.3">
      <c r="A10" s="7">
        <v>25766</v>
      </c>
      <c r="B10" s="10">
        <v>129</v>
      </c>
      <c r="C10" s="20">
        <v>92.74</v>
      </c>
      <c r="D10" s="2">
        <v>129</v>
      </c>
      <c r="E10" s="2">
        <v>0</v>
      </c>
      <c r="F10" s="16">
        <f t="shared" si="0"/>
        <v>92.74</v>
      </c>
      <c r="G10" s="8">
        <f t="shared" si="1"/>
        <v>25766</v>
      </c>
      <c r="H10" s="11">
        <v>132</v>
      </c>
      <c r="I10" s="22">
        <v>293.19</v>
      </c>
      <c r="J10" s="4">
        <v>131</v>
      </c>
      <c r="K10" s="4">
        <v>-175.8</v>
      </c>
      <c r="L10" s="17">
        <f t="shared" si="2"/>
        <v>117.38999999999999</v>
      </c>
      <c r="M10" s="9">
        <f t="shared" si="3"/>
        <v>25766</v>
      </c>
      <c r="N10" s="12">
        <v>133</v>
      </c>
      <c r="O10" s="23">
        <v>143.83000000000001</v>
      </c>
      <c r="P10" s="6">
        <v>133</v>
      </c>
      <c r="Q10" s="6">
        <v>0</v>
      </c>
      <c r="R10" s="18">
        <f t="shared" si="4"/>
        <v>143.83000000000001</v>
      </c>
    </row>
    <row r="11" spans="1:18" x14ac:dyDescent="0.3">
      <c r="A11" s="7">
        <v>27226</v>
      </c>
      <c r="B11" s="10">
        <v>129</v>
      </c>
      <c r="C11" s="20">
        <v>86</v>
      </c>
      <c r="D11" s="2">
        <v>129</v>
      </c>
      <c r="E11" s="2">
        <v>0</v>
      </c>
      <c r="F11" s="16">
        <f t="shared" si="0"/>
        <v>86</v>
      </c>
      <c r="G11" s="8">
        <f t="shared" si="1"/>
        <v>27226</v>
      </c>
      <c r="H11" s="11">
        <v>132</v>
      </c>
      <c r="I11" s="22">
        <v>285</v>
      </c>
      <c r="J11" s="4">
        <v>131</v>
      </c>
      <c r="K11" s="4">
        <v>-175.8</v>
      </c>
      <c r="L11" s="17">
        <f t="shared" si="2"/>
        <v>109.19999999999999</v>
      </c>
      <c r="M11" s="9">
        <f t="shared" si="3"/>
        <v>27226</v>
      </c>
      <c r="N11" s="12">
        <v>133</v>
      </c>
      <c r="O11" s="23">
        <v>133</v>
      </c>
      <c r="P11" s="6">
        <v>133</v>
      </c>
      <c r="Q11" s="6">
        <v>0</v>
      </c>
      <c r="R11" s="18">
        <f t="shared" si="4"/>
        <v>133</v>
      </c>
    </row>
    <row r="12" spans="1:18" x14ac:dyDescent="0.3">
      <c r="A12" s="7">
        <v>29552</v>
      </c>
      <c r="B12" s="10" t="s">
        <v>39</v>
      </c>
      <c r="C12" s="20">
        <v>8.4</v>
      </c>
      <c r="D12" s="2">
        <v>129</v>
      </c>
      <c r="E12" s="2">
        <v>73.400000000000006</v>
      </c>
      <c r="F12" s="16">
        <f t="shared" si="0"/>
        <v>81.800000000000011</v>
      </c>
      <c r="G12" s="8">
        <f t="shared" si="1"/>
        <v>29552</v>
      </c>
      <c r="H12" s="11" t="s">
        <v>40</v>
      </c>
      <c r="I12" s="22">
        <v>8.3000000000000007</v>
      </c>
      <c r="J12" s="4">
        <v>131</v>
      </c>
      <c r="K12" s="4">
        <v>89.4</v>
      </c>
      <c r="L12" s="17">
        <f t="shared" si="2"/>
        <v>97.7</v>
      </c>
      <c r="M12" s="9">
        <f t="shared" si="3"/>
        <v>29552</v>
      </c>
      <c r="N12" s="12" t="s">
        <v>41</v>
      </c>
      <c r="O12" s="23">
        <v>21.3</v>
      </c>
      <c r="P12" s="6">
        <v>133</v>
      </c>
      <c r="Q12" s="6">
        <v>102.02</v>
      </c>
      <c r="R12" s="18">
        <f t="shared" si="4"/>
        <v>123.32</v>
      </c>
    </row>
    <row r="13" spans="1:18" x14ac:dyDescent="0.3">
      <c r="A13" s="7">
        <v>31712</v>
      </c>
      <c r="B13" s="10">
        <v>129</v>
      </c>
      <c r="C13" s="20">
        <v>73.2</v>
      </c>
      <c r="D13" s="2">
        <v>129</v>
      </c>
      <c r="E13" s="2">
        <v>0</v>
      </c>
      <c r="F13" s="16">
        <f t="shared" si="0"/>
        <v>73.2</v>
      </c>
      <c r="G13" s="8">
        <f t="shared" si="1"/>
        <v>31712</v>
      </c>
      <c r="H13" s="11" t="s">
        <v>40</v>
      </c>
      <c r="I13" s="22">
        <v>3.1</v>
      </c>
      <c r="J13" s="4">
        <v>131</v>
      </c>
      <c r="K13" s="4">
        <v>89.4</v>
      </c>
      <c r="L13" s="17">
        <f t="shared" si="2"/>
        <v>92.5</v>
      </c>
      <c r="M13" s="9">
        <f t="shared" si="3"/>
        <v>31712</v>
      </c>
      <c r="N13" s="12" t="s">
        <v>41</v>
      </c>
      <c r="O13" s="23">
        <v>13.9</v>
      </c>
      <c r="P13" s="6">
        <v>133</v>
      </c>
      <c r="Q13" s="6">
        <v>102.02</v>
      </c>
      <c r="R13" s="18">
        <f t="shared" si="4"/>
        <v>115.92</v>
      </c>
    </row>
    <row r="14" spans="1:18" x14ac:dyDescent="0.3">
      <c r="A14" s="7">
        <v>32649</v>
      </c>
      <c r="B14" s="10">
        <v>129</v>
      </c>
      <c r="C14" s="20">
        <v>71.650000000000006</v>
      </c>
      <c r="D14" s="2">
        <v>129</v>
      </c>
      <c r="E14" s="2">
        <v>0</v>
      </c>
      <c r="F14" s="16">
        <f t="shared" si="0"/>
        <v>71.650000000000006</v>
      </c>
      <c r="G14" s="8">
        <f t="shared" si="1"/>
        <v>32649</v>
      </c>
      <c r="H14" s="11">
        <v>131</v>
      </c>
      <c r="I14" s="22">
        <v>89.35</v>
      </c>
      <c r="J14" s="4">
        <v>131</v>
      </c>
      <c r="K14" s="4">
        <v>0</v>
      </c>
      <c r="L14" s="17">
        <f t="shared" si="2"/>
        <v>89.35</v>
      </c>
      <c r="M14" s="9">
        <f t="shared" si="3"/>
        <v>32649</v>
      </c>
      <c r="N14" s="12" t="s">
        <v>41</v>
      </c>
      <c r="O14" s="23">
        <v>11.9</v>
      </c>
      <c r="P14" s="6">
        <v>133</v>
      </c>
      <c r="Q14" s="6">
        <v>102.02</v>
      </c>
      <c r="R14" s="18">
        <f t="shared" si="4"/>
        <v>113.92</v>
      </c>
    </row>
    <row r="15" spans="1:18" x14ac:dyDescent="0.3">
      <c r="A15" s="7">
        <v>34631</v>
      </c>
      <c r="B15" s="10">
        <v>129</v>
      </c>
      <c r="C15" s="20">
        <v>68.290000000000006</v>
      </c>
      <c r="D15" s="2">
        <v>129</v>
      </c>
      <c r="E15" s="2">
        <v>0</v>
      </c>
      <c r="F15" s="16">
        <f t="shared" si="0"/>
        <v>68.290000000000006</v>
      </c>
      <c r="G15" s="8">
        <f t="shared" si="1"/>
        <v>34631</v>
      </c>
      <c r="H15" s="11">
        <v>131</v>
      </c>
      <c r="I15" s="22">
        <v>83.1</v>
      </c>
      <c r="J15" s="4">
        <v>131</v>
      </c>
      <c r="K15" s="4">
        <v>0</v>
      </c>
      <c r="L15" s="17">
        <f t="shared" si="2"/>
        <v>83.1</v>
      </c>
      <c r="M15" s="9">
        <f t="shared" si="3"/>
        <v>34631</v>
      </c>
      <c r="N15" s="12" t="s">
        <v>41</v>
      </c>
      <c r="O15" s="23">
        <v>4.1500000000000004</v>
      </c>
      <c r="P15" s="6">
        <v>133</v>
      </c>
      <c r="Q15" s="6">
        <v>102.02</v>
      </c>
      <c r="R15" s="18">
        <f t="shared" si="4"/>
        <v>106.17</v>
      </c>
    </row>
    <row r="16" spans="1:18" x14ac:dyDescent="0.3">
      <c r="A16" s="7">
        <v>37825</v>
      </c>
      <c r="B16" s="10">
        <v>129</v>
      </c>
      <c r="C16" s="20">
        <v>66.36</v>
      </c>
      <c r="D16" s="2">
        <v>129</v>
      </c>
      <c r="E16" s="2">
        <v>0</v>
      </c>
      <c r="F16" s="16">
        <f t="shared" si="0"/>
        <v>66.36</v>
      </c>
      <c r="G16" s="8">
        <f t="shared" si="1"/>
        <v>37825</v>
      </c>
      <c r="H16" s="11">
        <v>131</v>
      </c>
      <c r="I16" s="22">
        <v>72.650000000000006</v>
      </c>
      <c r="J16" s="4">
        <v>131</v>
      </c>
      <c r="K16" s="4">
        <v>0</v>
      </c>
      <c r="L16" s="17">
        <f t="shared" si="2"/>
        <v>72.650000000000006</v>
      </c>
      <c r="M16" s="9">
        <f t="shared" si="3"/>
        <v>37825</v>
      </c>
      <c r="N16" s="12">
        <v>133</v>
      </c>
      <c r="O16" s="23">
        <v>95.59</v>
      </c>
      <c r="P16" s="6">
        <v>133</v>
      </c>
      <c r="Q16" s="6">
        <v>0</v>
      </c>
      <c r="R16" s="18">
        <f t="shared" si="4"/>
        <v>95.59</v>
      </c>
    </row>
    <row r="17" spans="1:19" x14ac:dyDescent="0.3">
      <c r="A17" s="7">
        <v>38195</v>
      </c>
      <c r="B17" s="10" t="s">
        <v>80</v>
      </c>
      <c r="C17" s="20">
        <v>66.010000000000005</v>
      </c>
      <c r="D17" s="2">
        <v>129</v>
      </c>
      <c r="E17" s="2">
        <v>0</v>
      </c>
      <c r="F17" s="16">
        <f t="shared" si="0"/>
        <v>66.010000000000005</v>
      </c>
      <c r="G17" s="8">
        <f t="shared" si="1"/>
        <v>38195</v>
      </c>
      <c r="H17" s="11" t="s">
        <v>79</v>
      </c>
      <c r="I17" s="22">
        <v>71.55</v>
      </c>
      <c r="J17" s="4">
        <v>131</v>
      </c>
      <c r="K17" s="4">
        <v>0</v>
      </c>
      <c r="L17" s="17">
        <f t="shared" si="2"/>
        <v>71.55</v>
      </c>
      <c r="M17" s="9">
        <f t="shared" si="3"/>
        <v>38195</v>
      </c>
      <c r="N17" s="12" t="s">
        <v>78</v>
      </c>
      <c r="O17" s="23">
        <v>94.08</v>
      </c>
      <c r="P17" s="6">
        <v>133</v>
      </c>
      <c r="Q17" s="6">
        <v>0</v>
      </c>
      <c r="R17" s="18">
        <f t="shared" si="4"/>
        <v>94.08</v>
      </c>
      <c r="S17" t="s">
        <v>81</v>
      </c>
    </row>
    <row r="18" spans="1:19" x14ac:dyDescent="0.3">
      <c r="A18" s="7">
        <v>38921</v>
      </c>
      <c r="B18" s="26" t="s">
        <v>80</v>
      </c>
      <c r="C18" s="20">
        <v>65.3</v>
      </c>
      <c r="D18" s="2">
        <v>129</v>
      </c>
      <c r="E18" s="2">
        <v>0</v>
      </c>
      <c r="F18" s="16">
        <f t="shared" si="0"/>
        <v>65.3</v>
      </c>
      <c r="G18" s="8">
        <f t="shared" si="1"/>
        <v>38921</v>
      </c>
      <c r="H18" s="25" t="s">
        <v>79</v>
      </c>
      <c r="I18" s="22">
        <v>67.95</v>
      </c>
      <c r="J18" s="4">
        <v>131</v>
      </c>
      <c r="K18" s="4">
        <v>0</v>
      </c>
      <c r="L18" s="17">
        <f t="shared" si="2"/>
        <v>67.95</v>
      </c>
      <c r="M18" s="9">
        <f t="shared" si="3"/>
        <v>38921</v>
      </c>
      <c r="O18" s="23"/>
      <c r="R18" s="18"/>
      <c r="S18" s="24" t="s">
        <v>92</v>
      </c>
    </row>
    <row r="19" spans="1:19" x14ac:dyDescent="0.3">
      <c r="A19" s="7">
        <v>38990</v>
      </c>
      <c r="B19" s="10">
        <v>129</v>
      </c>
      <c r="C19" s="20">
        <v>65.67</v>
      </c>
      <c r="D19" s="2">
        <v>129</v>
      </c>
      <c r="E19" s="2">
        <v>0</v>
      </c>
      <c r="F19" s="16">
        <f t="shared" si="0"/>
        <v>65.67</v>
      </c>
      <c r="G19" s="8">
        <f t="shared" si="1"/>
        <v>38990</v>
      </c>
      <c r="H19" s="11">
        <v>131</v>
      </c>
      <c r="I19" s="22">
        <v>67.790000000000006</v>
      </c>
      <c r="J19" s="4">
        <v>131</v>
      </c>
      <c r="K19" s="4">
        <v>0</v>
      </c>
      <c r="L19" s="17">
        <f t="shared" si="2"/>
        <v>67.790000000000006</v>
      </c>
      <c r="M19" s="9">
        <f t="shared" si="3"/>
        <v>38990</v>
      </c>
      <c r="N19" s="12">
        <v>133</v>
      </c>
      <c r="O19" s="23">
        <v>90.6</v>
      </c>
      <c r="P19" s="6">
        <v>133</v>
      </c>
      <c r="Q19" s="6">
        <v>0</v>
      </c>
      <c r="R19" s="18">
        <f t="shared" si="4"/>
        <v>90.6</v>
      </c>
    </row>
    <row r="20" spans="1:19" x14ac:dyDescent="0.3">
      <c r="A20" s="7">
        <v>40013</v>
      </c>
      <c r="B20" s="10">
        <v>129</v>
      </c>
      <c r="C20" s="2">
        <v>65.27</v>
      </c>
      <c r="D20" s="2">
        <v>129</v>
      </c>
      <c r="E20" s="2">
        <v>0</v>
      </c>
      <c r="F20" s="1">
        <f t="shared" si="0"/>
        <v>65.27</v>
      </c>
      <c r="G20" s="8">
        <f t="shared" si="1"/>
        <v>40013</v>
      </c>
      <c r="H20" s="11">
        <v>131</v>
      </c>
      <c r="I20" s="22">
        <v>65.2</v>
      </c>
      <c r="J20" s="4">
        <v>131</v>
      </c>
      <c r="K20" s="4">
        <v>0</v>
      </c>
      <c r="L20" s="17">
        <f t="shared" si="2"/>
        <v>65.2</v>
      </c>
      <c r="M20" s="9">
        <f t="shared" si="3"/>
        <v>40013</v>
      </c>
      <c r="N20" s="12">
        <v>133</v>
      </c>
      <c r="O20" s="23">
        <v>89.1</v>
      </c>
      <c r="P20" s="6">
        <v>133</v>
      </c>
      <c r="Q20" s="6">
        <v>0</v>
      </c>
      <c r="R20" s="18">
        <f t="shared" si="4"/>
        <v>89.1</v>
      </c>
      <c r="S20" s="29" t="s">
        <v>117</v>
      </c>
    </row>
    <row r="21" spans="1:19" x14ac:dyDescent="0.3">
      <c r="A21" s="7">
        <v>40383</v>
      </c>
      <c r="B21" s="10">
        <v>129</v>
      </c>
      <c r="C21" s="2">
        <v>65.209999999999994</v>
      </c>
      <c r="D21" s="2">
        <v>129</v>
      </c>
      <c r="E21" s="2">
        <v>0</v>
      </c>
      <c r="F21" s="1">
        <f t="shared" si="0"/>
        <v>65.209999999999994</v>
      </c>
      <c r="G21" s="8">
        <f t="shared" si="1"/>
        <v>40383</v>
      </c>
      <c r="H21" s="11">
        <v>131</v>
      </c>
      <c r="I21" s="22">
        <v>64.959999999999994</v>
      </c>
      <c r="J21" s="4">
        <v>131</v>
      </c>
      <c r="K21" s="4">
        <v>0</v>
      </c>
      <c r="L21" s="32">
        <f t="shared" si="2"/>
        <v>64.959999999999994</v>
      </c>
      <c r="M21" s="9">
        <f t="shared" si="3"/>
        <v>40383</v>
      </c>
      <c r="N21" s="12">
        <v>133</v>
      </c>
      <c r="O21" s="23">
        <v>88.01</v>
      </c>
      <c r="P21" s="6">
        <v>133</v>
      </c>
      <c r="Q21" s="6">
        <v>0</v>
      </c>
      <c r="R21" s="33">
        <f t="shared" si="4"/>
        <v>88.01</v>
      </c>
      <c r="S21" s="29" t="s">
        <v>118</v>
      </c>
    </row>
    <row r="22" spans="1:19" x14ac:dyDescent="0.3">
      <c r="A22" s="7">
        <v>41197</v>
      </c>
      <c r="B22" s="10">
        <v>129</v>
      </c>
      <c r="C22" s="2">
        <v>61.99</v>
      </c>
      <c r="D22" s="2">
        <v>129</v>
      </c>
      <c r="E22" s="2">
        <v>0</v>
      </c>
      <c r="F22" s="57">
        <f t="shared" si="0"/>
        <v>61.99</v>
      </c>
      <c r="G22" s="8">
        <f t="shared" si="1"/>
        <v>41197</v>
      </c>
      <c r="H22" s="11">
        <v>131</v>
      </c>
      <c r="I22" s="4">
        <v>63.29</v>
      </c>
      <c r="J22" s="4">
        <v>131</v>
      </c>
      <c r="K22" s="4">
        <v>0</v>
      </c>
      <c r="L22" s="32">
        <f t="shared" si="2"/>
        <v>63.29</v>
      </c>
      <c r="M22" s="9">
        <f t="shared" si="3"/>
        <v>41197</v>
      </c>
      <c r="N22" s="12">
        <v>133</v>
      </c>
      <c r="O22" s="6">
        <v>86.49</v>
      </c>
      <c r="P22" s="6">
        <v>133</v>
      </c>
      <c r="Q22" s="6">
        <v>0</v>
      </c>
      <c r="R22" s="33">
        <f t="shared" si="4"/>
        <v>86.49</v>
      </c>
    </row>
    <row r="23" spans="1:19" x14ac:dyDescent="0.3">
      <c r="A23" s="7">
        <v>41465</v>
      </c>
      <c r="B23" s="10">
        <v>129</v>
      </c>
      <c r="C23" s="2">
        <v>62.95</v>
      </c>
      <c r="D23" s="2">
        <v>129</v>
      </c>
      <c r="E23" s="2">
        <v>0</v>
      </c>
      <c r="F23" s="57">
        <f t="shared" ref="F23:F28" si="5">E23+C23</f>
        <v>62.95</v>
      </c>
      <c r="G23" s="8">
        <f t="shared" si="1"/>
        <v>41465</v>
      </c>
      <c r="H23" s="11">
        <v>131</v>
      </c>
      <c r="I23" s="4">
        <v>62.08</v>
      </c>
      <c r="J23" s="4">
        <v>131</v>
      </c>
      <c r="K23" s="4">
        <v>0</v>
      </c>
      <c r="L23" s="32">
        <f t="shared" ref="L23:L28" si="6">K23+I23</f>
        <v>62.08</v>
      </c>
      <c r="M23" s="9">
        <f t="shared" si="3"/>
        <v>41465</v>
      </c>
      <c r="N23" s="12">
        <v>133</v>
      </c>
      <c r="O23" s="6">
        <v>86.46</v>
      </c>
      <c r="P23" s="6">
        <v>133</v>
      </c>
      <c r="Q23" s="6">
        <v>0</v>
      </c>
      <c r="R23" s="33">
        <f t="shared" ref="R23:R30" si="7">Q23+O23</f>
        <v>86.46</v>
      </c>
      <c r="S23" s="29" t="s">
        <v>133</v>
      </c>
    </row>
    <row r="24" spans="1:19" x14ac:dyDescent="0.3">
      <c r="A24" s="67">
        <v>41831</v>
      </c>
      <c r="B24" s="28">
        <v>129</v>
      </c>
      <c r="C24" s="68">
        <v>63.42</v>
      </c>
      <c r="D24" s="68">
        <v>129</v>
      </c>
      <c r="E24" s="68">
        <v>0</v>
      </c>
      <c r="F24" s="73">
        <f t="shared" si="5"/>
        <v>63.42</v>
      </c>
      <c r="G24" s="63">
        <f t="shared" si="1"/>
        <v>41831</v>
      </c>
      <c r="H24" s="30">
        <v>131</v>
      </c>
      <c r="I24" s="64">
        <v>62.06</v>
      </c>
      <c r="J24" s="64">
        <v>131</v>
      </c>
      <c r="K24" s="64">
        <v>0</v>
      </c>
      <c r="L24" s="32">
        <f t="shared" si="6"/>
        <v>62.06</v>
      </c>
      <c r="M24" s="65">
        <f t="shared" si="3"/>
        <v>41831</v>
      </c>
      <c r="N24" s="31">
        <v>133</v>
      </c>
      <c r="O24" s="66">
        <v>86.36</v>
      </c>
      <c r="P24" s="66">
        <v>133</v>
      </c>
      <c r="Q24" s="66">
        <v>0</v>
      </c>
      <c r="R24" s="33">
        <f t="shared" si="7"/>
        <v>86.36</v>
      </c>
      <c r="S24" s="61" t="s">
        <v>139</v>
      </c>
    </row>
    <row r="25" spans="1:19" x14ac:dyDescent="0.3">
      <c r="A25" s="7">
        <v>42200</v>
      </c>
      <c r="B25" s="10">
        <v>129</v>
      </c>
      <c r="C25" s="2">
        <v>62.48</v>
      </c>
      <c r="D25" s="2">
        <v>129</v>
      </c>
      <c r="E25" s="2">
        <v>0</v>
      </c>
      <c r="F25" s="1">
        <f t="shared" si="5"/>
        <v>62.48</v>
      </c>
      <c r="G25" s="63">
        <f t="shared" si="1"/>
        <v>42200</v>
      </c>
      <c r="H25" s="30">
        <v>131</v>
      </c>
      <c r="I25" s="64">
        <v>61.92</v>
      </c>
      <c r="J25" s="64">
        <v>131</v>
      </c>
      <c r="K25" s="64">
        <v>0</v>
      </c>
      <c r="L25" s="32">
        <f t="shared" si="6"/>
        <v>61.92</v>
      </c>
      <c r="M25" s="65">
        <f t="shared" si="3"/>
        <v>42200</v>
      </c>
      <c r="N25" s="31">
        <v>133</v>
      </c>
      <c r="O25" s="66">
        <v>86.12</v>
      </c>
      <c r="P25" s="66">
        <v>133</v>
      </c>
      <c r="Q25" s="66">
        <v>0</v>
      </c>
      <c r="R25" s="33">
        <f t="shared" si="7"/>
        <v>86.12</v>
      </c>
    </row>
    <row r="26" spans="1:19" x14ac:dyDescent="0.3">
      <c r="A26" s="7">
        <v>42515</v>
      </c>
      <c r="B26" s="10">
        <v>129</v>
      </c>
      <c r="C26" s="2">
        <v>60.11</v>
      </c>
      <c r="D26" s="2">
        <v>129</v>
      </c>
      <c r="E26" s="2">
        <v>0</v>
      </c>
      <c r="F26" s="1">
        <f t="shared" si="5"/>
        <v>60.11</v>
      </c>
      <c r="G26" s="8">
        <f t="shared" si="1"/>
        <v>42515</v>
      </c>
      <c r="H26" s="11">
        <v>131</v>
      </c>
      <c r="I26" s="4">
        <v>59.69</v>
      </c>
      <c r="J26" s="4">
        <v>131</v>
      </c>
      <c r="K26" s="4">
        <v>0</v>
      </c>
      <c r="L26" s="32">
        <f t="shared" si="6"/>
        <v>59.69</v>
      </c>
      <c r="M26" s="9">
        <f t="shared" si="3"/>
        <v>42515</v>
      </c>
      <c r="N26" s="12">
        <v>133</v>
      </c>
      <c r="O26" s="6">
        <v>86.09</v>
      </c>
      <c r="P26" s="6">
        <v>133</v>
      </c>
      <c r="Q26" s="6">
        <v>0</v>
      </c>
      <c r="R26" s="33">
        <f t="shared" si="7"/>
        <v>86.09</v>
      </c>
      <c r="S26" s="29" t="s">
        <v>149</v>
      </c>
    </row>
    <row r="27" spans="1:19" x14ac:dyDescent="0.3">
      <c r="A27" s="7">
        <v>42630</v>
      </c>
      <c r="B27" s="10">
        <v>129</v>
      </c>
      <c r="C27" s="20">
        <v>59.9</v>
      </c>
      <c r="D27" s="2">
        <v>129</v>
      </c>
      <c r="E27" s="2">
        <v>0</v>
      </c>
      <c r="F27" s="16">
        <f t="shared" si="5"/>
        <v>59.9</v>
      </c>
      <c r="G27" s="8">
        <f t="shared" si="1"/>
        <v>42630</v>
      </c>
      <c r="H27" s="11">
        <v>131</v>
      </c>
      <c r="I27" s="22">
        <v>59.7</v>
      </c>
      <c r="J27" s="4">
        <v>131</v>
      </c>
      <c r="K27" s="4">
        <v>0</v>
      </c>
      <c r="L27" s="50">
        <f t="shared" si="6"/>
        <v>59.7</v>
      </c>
      <c r="M27" s="9">
        <f t="shared" si="3"/>
        <v>42630</v>
      </c>
      <c r="N27" s="12">
        <v>133</v>
      </c>
      <c r="O27" s="6">
        <v>86.04</v>
      </c>
      <c r="P27" s="6">
        <v>133</v>
      </c>
      <c r="Q27" s="6">
        <v>0</v>
      </c>
      <c r="R27" s="33">
        <f t="shared" si="7"/>
        <v>86.04</v>
      </c>
      <c r="S27" s="29" t="s">
        <v>152</v>
      </c>
    </row>
    <row r="28" spans="1:19" x14ac:dyDescent="0.3">
      <c r="A28" s="7">
        <v>43691</v>
      </c>
      <c r="B28" s="10">
        <v>129</v>
      </c>
      <c r="C28" s="20">
        <v>56</v>
      </c>
      <c r="D28" s="2">
        <v>129</v>
      </c>
      <c r="E28" s="2">
        <v>0</v>
      </c>
      <c r="F28" s="16">
        <f t="shared" si="5"/>
        <v>56</v>
      </c>
      <c r="G28" s="8">
        <f t="shared" si="1"/>
        <v>43691</v>
      </c>
      <c r="H28" s="11">
        <v>131</v>
      </c>
      <c r="I28" s="4">
        <v>54.84</v>
      </c>
      <c r="J28" s="4">
        <v>131</v>
      </c>
      <c r="K28" s="4">
        <v>0</v>
      </c>
      <c r="L28" s="32">
        <f t="shared" si="6"/>
        <v>54.84</v>
      </c>
      <c r="M28" s="9">
        <f t="shared" si="3"/>
        <v>43691</v>
      </c>
      <c r="N28" s="12">
        <v>133</v>
      </c>
      <c r="O28" s="23">
        <v>84</v>
      </c>
      <c r="P28" s="6">
        <v>133</v>
      </c>
      <c r="Q28" s="6">
        <v>0</v>
      </c>
      <c r="R28" s="34">
        <f t="shared" si="7"/>
        <v>84</v>
      </c>
      <c r="S28" s="29" t="s">
        <v>156</v>
      </c>
    </row>
    <row r="29" spans="1:19" x14ac:dyDescent="0.3">
      <c r="A29" s="7">
        <v>44384</v>
      </c>
      <c r="B29" s="10">
        <v>129</v>
      </c>
      <c r="C29" s="2">
        <v>52.51</v>
      </c>
      <c r="D29" s="2">
        <v>129</v>
      </c>
      <c r="E29" s="2">
        <v>0</v>
      </c>
      <c r="F29" s="16">
        <f>E29+C29</f>
        <v>52.51</v>
      </c>
      <c r="G29" s="8">
        <f t="shared" si="1"/>
        <v>44384</v>
      </c>
      <c r="H29" s="11">
        <v>131</v>
      </c>
      <c r="I29" s="22">
        <v>53.4</v>
      </c>
      <c r="J29" s="4">
        <v>131</v>
      </c>
      <c r="K29" s="4">
        <v>0</v>
      </c>
      <c r="L29" s="50">
        <f>K29+I29</f>
        <v>53.4</v>
      </c>
      <c r="M29" s="9">
        <f t="shared" si="3"/>
        <v>44384</v>
      </c>
      <c r="N29" s="12">
        <v>133</v>
      </c>
      <c r="O29" s="6">
        <v>81.77</v>
      </c>
      <c r="P29" s="6">
        <v>133</v>
      </c>
      <c r="Q29" s="6">
        <v>0</v>
      </c>
      <c r="R29" s="34">
        <f t="shared" si="7"/>
        <v>81.77</v>
      </c>
    </row>
    <row r="30" spans="1:19" x14ac:dyDescent="0.3">
      <c r="A30" s="7">
        <v>44776</v>
      </c>
      <c r="B30" s="10">
        <v>129</v>
      </c>
      <c r="C30" s="2">
        <v>52.6</v>
      </c>
      <c r="D30" s="2">
        <v>129</v>
      </c>
      <c r="E30" s="2">
        <v>0</v>
      </c>
      <c r="F30" s="16">
        <f>E30+C30</f>
        <v>52.6</v>
      </c>
      <c r="G30" s="8">
        <f t="shared" si="1"/>
        <v>44776</v>
      </c>
      <c r="H30" s="11">
        <v>131</v>
      </c>
      <c r="I30" s="4">
        <v>49.87</v>
      </c>
      <c r="J30" s="4">
        <v>131</v>
      </c>
      <c r="K30" s="4">
        <v>0</v>
      </c>
      <c r="L30" s="162">
        <f>K30+I30</f>
        <v>49.87</v>
      </c>
      <c r="M30" s="9">
        <f t="shared" si="3"/>
        <v>44776</v>
      </c>
      <c r="N30" s="12">
        <v>133</v>
      </c>
      <c r="O30" s="23">
        <v>81</v>
      </c>
      <c r="P30" s="6">
        <v>133</v>
      </c>
      <c r="Q30" s="6">
        <v>0</v>
      </c>
      <c r="R30" s="34">
        <f t="shared" si="7"/>
        <v>81</v>
      </c>
    </row>
    <row r="31" spans="1:19" x14ac:dyDescent="0.3">
      <c r="G31" s="8" t="str">
        <f t="shared" si="1"/>
        <v/>
      </c>
      <c r="M31" s="9" t="str">
        <f t="shared" si="3"/>
        <v/>
      </c>
    </row>
    <row r="32" spans="1:19" x14ac:dyDescent="0.3">
      <c r="G32" s="8" t="str">
        <f t="shared" si="1"/>
        <v/>
      </c>
      <c r="M32" s="9" t="str">
        <f t="shared" si="3"/>
        <v/>
      </c>
    </row>
    <row r="33" spans="7:13" x14ac:dyDescent="0.3">
      <c r="G33" s="8" t="str">
        <f t="shared" si="1"/>
        <v/>
      </c>
      <c r="M33" s="9" t="str">
        <f t="shared" si="3"/>
        <v/>
      </c>
    </row>
    <row r="34" spans="7:13" x14ac:dyDescent="0.3">
      <c r="G34" s="8" t="str">
        <f t="shared" si="1"/>
        <v/>
      </c>
      <c r="M34" s="9" t="str">
        <f t="shared" si="3"/>
        <v/>
      </c>
    </row>
    <row r="35" spans="7:13" x14ac:dyDescent="0.3">
      <c r="G35" s="8" t="str">
        <f t="shared" si="1"/>
        <v/>
      </c>
      <c r="M35" s="9" t="str">
        <f t="shared" si="3"/>
        <v/>
      </c>
    </row>
    <row r="36" spans="7:13" x14ac:dyDescent="0.3">
      <c r="G36" s="8" t="str">
        <f t="shared" si="1"/>
        <v/>
      </c>
      <c r="M36" s="9" t="str">
        <f t="shared" si="3"/>
        <v/>
      </c>
    </row>
    <row r="37" spans="7:13" x14ac:dyDescent="0.3">
      <c r="G37" s="8" t="str">
        <f t="shared" si="1"/>
        <v/>
      </c>
      <c r="M37" s="9" t="str">
        <f t="shared" si="3"/>
        <v/>
      </c>
    </row>
    <row r="38" spans="7:13" x14ac:dyDescent="0.3">
      <c r="G38" s="8" t="str">
        <f t="shared" si="1"/>
        <v/>
      </c>
      <c r="M38" s="9" t="str">
        <f t="shared" si="3"/>
        <v/>
      </c>
    </row>
    <row r="39" spans="7:13" x14ac:dyDescent="0.3">
      <c r="G39" s="8" t="str">
        <f t="shared" si="1"/>
        <v/>
      </c>
      <c r="M39" s="9" t="str">
        <f t="shared" si="3"/>
        <v/>
      </c>
    </row>
    <row r="40" spans="7:13" x14ac:dyDescent="0.3">
      <c r="G40" s="8" t="str">
        <f t="shared" si="1"/>
        <v/>
      </c>
      <c r="M40" s="9" t="str">
        <f t="shared" si="3"/>
        <v/>
      </c>
    </row>
    <row r="41" spans="7:13" x14ac:dyDescent="0.3">
      <c r="G41" s="8" t="str">
        <f t="shared" si="1"/>
        <v/>
      </c>
      <c r="M41" s="9" t="str">
        <f t="shared" si="3"/>
        <v/>
      </c>
    </row>
    <row r="42" spans="7:13" x14ac:dyDescent="0.3">
      <c r="G42" s="8" t="str">
        <f t="shared" si="1"/>
        <v/>
      </c>
      <c r="M42" s="9" t="str">
        <f t="shared" si="3"/>
        <v/>
      </c>
    </row>
    <row r="43" spans="7:13" x14ac:dyDescent="0.3">
      <c r="G43" s="8" t="str">
        <f t="shared" si="1"/>
        <v/>
      </c>
      <c r="M43" s="9" t="str">
        <f t="shared" si="3"/>
        <v/>
      </c>
    </row>
    <row r="44" spans="7:13" x14ac:dyDescent="0.3">
      <c r="G44" s="8" t="str">
        <f t="shared" si="1"/>
        <v/>
      </c>
      <c r="M44" s="9" t="str">
        <f t="shared" si="3"/>
        <v/>
      </c>
    </row>
    <row r="45" spans="7:13" x14ac:dyDescent="0.3">
      <c r="G45" s="8" t="str">
        <f t="shared" si="1"/>
        <v/>
      </c>
      <c r="M45" s="9" t="str">
        <f t="shared" si="3"/>
        <v/>
      </c>
    </row>
    <row r="46" spans="7:13" x14ac:dyDescent="0.3">
      <c r="G46" s="8" t="str">
        <f t="shared" si="1"/>
        <v/>
      </c>
      <c r="M46" s="9" t="str">
        <f t="shared" si="3"/>
        <v/>
      </c>
    </row>
    <row r="47" spans="7:13" x14ac:dyDescent="0.3">
      <c r="G47" s="8" t="str">
        <f t="shared" si="1"/>
        <v/>
      </c>
      <c r="M47" s="9" t="str">
        <f t="shared" si="3"/>
        <v/>
      </c>
    </row>
    <row r="48" spans="7:13" x14ac:dyDescent="0.3">
      <c r="G48" s="8" t="str">
        <f t="shared" si="1"/>
        <v/>
      </c>
      <c r="M48" s="9" t="str">
        <f t="shared" si="3"/>
        <v/>
      </c>
    </row>
    <row r="49" spans="7:13" x14ac:dyDescent="0.3">
      <c r="G49" s="8" t="str">
        <f t="shared" si="1"/>
        <v/>
      </c>
      <c r="M49" s="9" t="str">
        <f t="shared" si="3"/>
        <v/>
      </c>
    </row>
    <row r="50" spans="7:13" x14ac:dyDescent="0.3">
      <c r="G50" s="8" t="str">
        <f t="shared" si="1"/>
        <v/>
      </c>
      <c r="M50" s="9" t="str">
        <f t="shared" si="3"/>
        <v/>
      </c>
    </row>
    <row r="51" spans="7:13" x14ac:dyDescent="0.3">
      <c r="G51" s="8" t="str">
        <f t="shared" si="1"/>
        <v/>
      </c>
      <c r="M51" s="9" t="str">
        <f t="shared" si="3"/>
        <v/>
      </c>
    </row>
    <row r="52" spans="7:13" x14ac:dyDescent="0.3">
      <c r="G52" s="8" t="str">
        <f t="shared" si="1"/>
        <v/>
      </c>
      <c r="M52" s="9" t="str">
        <f t="shared" si="3"/>
        <v/>
      </c>
    </row>
    <row r="53" spans="7:13" x14ac:dyDescent="0.3">
      <c r="G53" s="8" t="str">
        <f t="shared" si="1"/>
        <v/>
      </c>
      <c r="M53" s="9" t="str">
        <f t="shared" si="3"/>
        <v/>
      </c>
    </row>
    <row r="54" spans="7:13" x14ac:dyDescent="0.3">
      <c r="G54" s="8" t="str">
        <f t="shared" si="1"/>
        <v/>
      </c>
      <c r="M54" s="9" t="str">
        <f t="shared" si="3"/>
        <v/>
      </c>
    </row>
    <row r="55" spans="7:13" x14ac:dyDescent="0.3">
      <c r="G55" s="8" t="str">
        <f t="shared" si="1"/>
        <v/>
      </c>
      <c r="M55" s="9" t="str">
        <f t="shared" si="3"/>
        <v/>
      </c>
    </row>
    <row r="56" spans="7:13" x14ac:dyDescent="0.3">
      <c r="G56" s="8" t="str">
        <f t="shared" si="1"/>
        <v/>
      </c>
      <c r="M56" s="9" t="str">
        <f t="shared" si="3"/>
        <v/>
      </c>
    </row>
    <row r="57" spans="7:13" x14ac:dyDescent="0.3">
      <c r="G57" s="8" t="str">
        <f t="shared" si="1"/>
        <v/>
      </c>
      <c r="M57" s="9" t="str">
        <f t="shared" si="3"/>
        <v/>
      </c>
    </row>
    <row r="58" spans="7:13" x14ac:dyDescent="0.3">
      <c r="G58" s="8" t="str">
        <f t="shared" si="1"/>
        <v/>
      </c>
      <c r="M58" s="9" t="str">
        <f t="shared" si="3"/>
        <v/>
      </c>
    </row>
    <row r="59" spans="7:13" x14ac:dyDescent="0.3">
      <c r="G59" s="8" t="str">
        <f t="shared" si="1"/>
        <v/>
      </c>
      <c r="M59" s="9" t="str">
        <f t="shared" si="3"/>
        <v/>
      </c>
    </row>
    <row r="60" spans="7:13" x14ac:dyDescent="0.3">
      <c r="G60" s="8" t="str">
        <f t="shared" si="1"/>
        <v/>
      </c>
      <c r="M60" s="9" t="str">
        <f t="shared" si="3"/>
        <v/>
      </c>
    </row>
    <row r="61" spans="7:13" x14ac:dyDescent="0.3">
      <c r="G61" s="8" t="str">
        <f t="shared" si="1"/>
        <v/>
      </c>
      <c r="M61" s="9" t="str">
        <f t="shared" si="3"/>
        <v/>
      </c>
    </row>
    <row r="62" spans="7:13" x14ac:dyDescent="0.3">
      <c r="G62" s="8" t="str">
        <f t="shared" si="1"/>
        <v/>
      </c>
      <c r="M62" s="9" t="str">
        <f t="shared" si="3"/>
        <v/>
      </c>
    </row>
    <row r="63" spans="7:13" x14ac:dyDescent="0.3">
      <c r="G63" s="8" t="str">
        <f t="shared" si="1"/>
        <v/>
      </c>
      <c r="M63" s="9" t="str">
        <f t="shared" si="3"/>
        <v/>
      </c>
    </row>
    <row r="64" spans="7:13" x14ac:dyDescent="0.3">
      <c r="G64" s="8" t="str">
        <f t="shared" si="1"/>
        <v/>
      </c>
      <c r="M64" s="9" t="str">
        <f t="shared" si="3"/>
        <v/>
      </c>
    </row>
    <row r="65" spans="7:13" x14ac:dyDescent="0.3">
      <c r="G65" s="8" t="str">
        <f t="shared" si="1"/>
        <v/>
      </c>
      <c r="M65" s="9" t="str">
        <f t="shared" si="3"/>
        <v/>
      </c>
    </row>
    <row r="66" spans="7:13" x14ac:dyDescent="0.3">
      <c r="G66" s="8" t="str">
        <f t="shared" si="1"/>
        <v/>
      </c>
      <c r="M66" s="9" t="str">
        <f t="shared" si="3"/>
        <v/>
      </c>
    </row>
    <row r="67" spans="7:13" x14ac:dyDescent="0.3">
      <c r="G67" s="8" t="str">
        <f t="shared" si="1"/>
        <v/>
      </c>
      <c r="M67" s="9" t="str">
        <f t="shared" si="3"/>
        <v/>
      </c>
    </row>
    <row r="68" spans="7:13" x14ac:dyDescent="0.3">
      <c r="G68" s="8" t="str">
        <f t="shared" si="1"/>
        <v/>
      </c>
      <c r="M68" s="9" t="str">
        <f t="shared" si="3"/>
        <v/>
      </c>
    </row>
    <row r="69" spans="7:13" x14ac:dyDescent="0.3">
      <c r="G69" s="8" t="str">
        <f t="shared" si="1"/>
        <v/>
      </c>
      <c r="M69" s="9" t="str">
        <f t="shared" si="3"/>
        <v/>
      </c>
    </row>
    <row r="70" spans="7:13" x14ac:dyDescent="0.3">
      <c r="G70" s="8" t="str">
        <f t="shared" si="1"/>
        <v/>
      </c>
      <c r="M70" s="9" t="str">
        <f t="shared" si="3"/>
        <v/>
      </c>
    </row>
    <row r="71" spans="7:13" x14ac:dyDescent="0.3">
      <c r="G71" s="8" t="str">
        <f t="shared" si="1"/>
        <v/>
      </c>
      <c r="M71" s="9" t="str">
        <f t="shared" si="3"/>
        <v/>
      </c>
    </row>
    <row r="72" spans="7:13" x14ac:dyDescent="0.3">
      <c r="G72" s="8" t="str">
        <f t="shared" si="1"/>
        <v/>
      </c>
      <c r="M72" s="9" t="str">
        <f t="shared" si="3"/>
        <v/>
      </c>
    </row>
    <row r="73" spans="7:13" x14ac:dyDescent="0.3">
      <c r="G73" s="8" t="str">
        <f t="shared" si="1"/>
        <v/>
      </c>
      <c r="M73" s="9" t="str">
        <f t="shared" si="3"/>
        <v/>
      </c>
    </row>
    <row r="74" spans="7:13" x14ac:dyDescent="0.3">
      <c r="G74" s="8" t="str">
        <f t="shared" ref="G74:G82" si="8">IF(ISNUMBER(A74),A74,"")</f>
        <v/>
      </c>
      <c r="M74" s="9" t="str">
        <f t="shared" ref="M74:M82" si="9">IF(ISNUMBER(G74),G74,"")</f>
        <v/>
      </c>
    </row>
    <row r="75" spans="7:13" x14ac:dyDescent="0.3">
      <c r="G75" s="8" t="str">
        <f t="shared" si="8"/>
        <v/>
      </c>
      <c r="M75" s="9" t="str">
        <f t="shared" si="9"/>
        <v/>
      </c>
    </row>
    <row r="76" spans="7:13" x14ac:dyDescent="0.3">
      <c r="G76" s="8" t="str">
        <f t="shared" si="8"/>
        <v/>
      </c>
      <c r="M76" s="9" t="str">
        <f t="shared" si="9"/>
        <v/>
      </c>
    </row>
    <row r="77" spans="7:13" x14ac:dyDescent="0.3">
      <c r="G77" s="8" t="str">
        <f t="shared" si="8"/>
        <v/>
      </c>
      <c r="M77" s="9" t="str">
        <f t="shared" si="9"/>
        <v/>
      </c>
    </row>
    <row r="78" spans="7:13" x14ac:dyDescent="0.3">
      <c r="G78" s="8" t="str">
        <f t="shared" si="8"/>
        <v/>
      </c>
      <c r="M78" s="9" t="str">
        <f t="shared" si="9"/>
        <v/>
      </c>
    </row>
    <row r="79" spans="7:13" x14ac:dyDescent="0.3">
      <c r="G79" s="8" t="str">
        <f t="shared" si="8"/>
        <v/>
      </c>
      <c r="M79" s="9" t="str">
        <f t="shared" si="9"/>
        <v/>
      </c>
    </row>
    <row r="80" spans="7:13" x14ac:dyDescent="0.3">
      <c r="G80" s="8" t="str">
        <f t="shared" si="8"/>
        <v/>
      </c>
      <c r="M80" s="9" t="str">
        <f t="shared" si="9"/>
        <v/>
      </c>
    </row>
    <row r="81" spans="7:13" x14ac:dyDescent="0.3">
      <c r="G81" s="8" t="str">
        <f t="shared" si="8"/>
        <v/>
      </c>
      <c r="M81" s="9" t="str">
        <f t="shared" si="9"/>
        <v/>
      </c>
    </row>
    <row r="82" spans="7:13" x14ac:dyDescent="0.3">
      <c r="G82" s="8" t="str">
        <f t="shared" si="8"/>
        <v/>
      </c>
      <c r="M82" s="9" t="str">
        <f t="shared" si="9"/>
        <v/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workbookViewId="0">
      <selection activeCell="S29" sqref="S29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3" width="9.1796875" style="2" customWidth="1"/>
    <col min="4" max="4" width="9.1796875" style="10" customWidth="1"/>
    <col min="5" max="5" width="9.1796875" style="2" customWidth="1"/>
    <col min="6" max="6" width="9.1796875" style="1" customWidth="1"/>
    <col min="7" max="7" width="9.1796875" style="4" customWidth="1"/>
    <col min="8" max="8" width="12.453125" style="11" customWidth="1"/>
    <col min="9" max="9" width="9.1796875" style="4" customWidth="1"/>
    <col min="10" max="10" width="10.1796875" style="11" customWidth="1"/>
    <col min="11" max="12" width="9.1796875" style="4" customWidth="1"/>
    <col min="13" max="13" width="9.1796875" style="6" customWidth="1"/>
    <col min="14" max="14" width="10.1796875" style="12" customWidth="1"/>
    <col min="15" max="15" width="9.1796875" style="6" customWidth="1"/>
    <col min="16" max="16" width="10.1796875" style="12" customWidth="1"/>
    <col min="17" max="18" width="9.1796875" style="6" customWidth="1"/>
  </cols>
  <sheetData>
    <row r="1" spans="1:18" x14ac:dyDescent="0.3">
      <c r="A1" s="1" t="s">
        <v>42</v>
      </c>
      <c r="G1" s="3" t="s">
        <v>43</v>
      </c>
      <c r="M1" s="5" t="s">
        <v>44</v>
      </c>
    </row>
    <row r="3" spans="1:18" x14ac:dyDescent="0.3">
      <c r="A3" s="2" t="s">
        <v>0</v>
      </c>
      <c r="B3" s="10" t="s">
        <v>1</v>
      </c>
      <c r="C3" s="2" t="s">
        <v>2</v>
      </c>
      <c r="D3" s="10" t="s">
        <v>4</v>
      </c>
      <c r="E3" s="2" t="s">
        <v>6</v>
      </c>
      <c r="F3" s="1" t="s">
        <v>6</v>
      </c>
      <c r="G3" s="4" t="s">
        <v>0</v>
      </c>
      <c r="H3" s="11" t="s">
        <v>1</v>
      </c>
      <c r="I3" s="4" t="s">
        <v>2</v>
      </c>
      <c r="J3" s="11" t="s">
        <v>4</v>
      </c>
      <c r="K3" s="4" t="s">
        <v>6</v>
      </c>
      <c r="L3" s="3" t="s">
        <v>6</v>
      </c>
      <c r="M3" s="6" t="s">
        <v>0</v>
      </c>
      <c r="N3" s="12" t="s">
        <v>1</v>
      </c>
      <c r="O3" s="6" t="s">
        <v>2</v>
      </c>
      <c r="P3" s="12" t="s">
        <v>4</v>
      </c>
      <c r="Q3" s="6" t="s">
        <v>6</v>
      </c>
      <c r="R3" s="5" t="s">
        <v>6</v>
      </c>
    </row>
    <row r="4" spans="1:18" x14ac:dyDescent="0.3">
      <c r="C4" s="2" t="s">
        <v>3</v>
      </c>
      <c r="D4" s="10" t="s">
        <v>5</v>
      </c>
      <c r="E4" s="2" t="s">
        <v>7</v>
      </c>
      <c r="F4" s="1" t="s">
        <v>9</v>
      </c>
      <c r="I4" s="4" t="s">
        <v>3</v>
      </c>
      <c r="J4" s="11" t="s">
        <v>5</v>
      </c>
      <c r="K4" s="4" t="s">
        <v>7</v>
      </c>
      <c r="L4" s="3" t="s">
        <v>9</v>
      </c>
      <c r="O4" s="6" t="s">
        <v>3</v>
      </c>
      <c r="P4" s="12" t="s">
        <v>5</v>
      </c>
      <c r="Q4" s="6" t="s">
        <v>7</v>
      </c>
      <c r="R4" s="5" t="s">
        <v>9</v>
      </c>
    </row>
    <row r="5" spans="1:18" x14ac:dyDescent="0.3">
      <c r="E5" s="2" t="s">
        <v>8</v>
      </c>
      <c r="F5" s="1" t="s">
        <v>8</v>
      </c>
      <c r="K5" s="4" t="s">
        <v>8</v>
      </c>
      <c r="L5" s="3" t="s">
        <v>8</v>
      </c>
      <c r="Q5" s="6" t="s">
        <v>8</v>
      </c>
      <c r="R5" s="5" t="s">
        <v>8</v>
      </c>
    </row>
    <row r="7" spans="1:18" x14ac:dyDescent="0.3">
      <c r="A7" s="7">
        <v>21456</v>
      </c>
      <c r="B7" s="10">
        <v>124</v>
      </c>
      <c r="C7" s="20">
        <v>158</v>
      </c>
      <c r="D7" s="10" t="s">
        <v>45</v>
      </c>
      <c r="E7" s="2">
        <f>67.91+16.2+12.63</f>
        <v>96.74</v>
      </c>
      <c r="F7" s="16">
        <f>E7+C7</f>
        <v>254.74</v>
      </c>
      <c r="G7" s="8">
        <f>IF(ISNUMBER(A7),A7,"")</f>
        <v>21456</v>
      </c>
      <c r="H7" s="11">
        <v>126</v>
      </c>
      <c r="I7" s="22">
        <v>164</v>
      </c>
      <c r="J7" s="11" t="s">
        <v>49</v>
      </c>
      <c r="K7" s="4">
        <f>107.83</f>
        <v>107.83</v>
      </c>
      <c r="L7" s="17">
        <f>K7+I7</f>
        <v>271.83</v>
      </c>
      <c r="M7" s="9">
        <f>IF(ISNUMBER(G7),G7,"")</f>
        <v>21456</v>
      </c>
      <c r="N7" s="12">
        <v>128</v>
      </c>
      <c r="O7" s="6">
        <v>142</v>
      </c>
      <c r="P7" s="12" t="s">
        <v>51</v>
      </c>
      <c r="Q7" s="6">
        <f>118.85+80</f>
        <v>198.85</v>
      </c>
      <c r="R7" s="18">
        <f>Q7+O7</f>
        <v>340.85</v>
      </c>
    </row>
    <row r="8" spans="1:18" x14ac:dyDescent="0.3">
      <c r="A8" s="7">
        <v>22211</v>
      </c>
      <c r="B8" s="10">
        <v>124</v>
      </c>
      <c r="C8" s="20">
        <v>149.6</v>
      </c>
      <c r="D8" s="10" t="s">
        <v>45</v>
      </c>
      <c r="E8" s="2">
        <f>67.91+16.2+12.63</f>
        <v>96.74</v>
      </c>
      <c r="F8" s="16">
        <f t="shared" ref="F8:F23" si="0">E8+C8</f>
        <v>246.33999999999997</v>
      </c>
      <c r="G8" s="8">
        <f t="shared" ref="G8:G73" si="1">IF(ISNUMBER(A8),A8,"")</f>
        <v>22211</v>
      </c>
      <c r="H8" s="11">
        <v>126</v>
      </c>
      <c r="I8" s="22">
        <v>155.9</v>
      </c>
      <c r="J8" s="11" t="s">
        <v>49</v>
      </c>
      <c r="K8" s="4">
        <f t="shared" ref="K8:K14" si="2">107.83</f>
        <v>107.83</v>
      </c>
      <c r="L8" s="17">
        <f t="shared" ref="L8:L24" si="3">K8+I8</f>
        <v>263.73</v>
      </c>
      <c r="M8" s="9">
        <f t="shared" ref="M8:M73" si="4">IF(ISNUMBER(G8),G8,"")</f>
        <v>22211</v>
      </c>
      <c r="N8" s="12">
        <v>128</v>
      </c>
      <c r="O8" s="6">
        <v>129.6</v>
      </c>
      <c r="P8" s="12" t="s">
        <v>51</v>
      </c>
      <c r="Q8" s="6">
        <f t="shared" ref="Q8:Q13" si="5">118.85+80</f>
        <v>198.85</v>
      </c>
      <c r="R8" s="18">
        <f t="shared" ref="R8:R31" si="6">Q8+O8</f>
        <v>328.45</v>
      </c>
    </row>
    <row r="9" spans="1:18" x14ac:dyDescent="0.3">
      <c r="A9" s="7">
        <v>23950</v>
      </c>
      <c r="B9" s="10">
        <v>124</v>
      </c>
      <c r="C9" s="20">
        <v>121.8</v>
      </c>
      <c r="D9" s="10" t="s">
        <v>45</v>
      </c>
      <c r="E9" s="2">
        <f>67.91+16.2+12.63</f>
        <v>96.74</v>
      </c>
      <c r="F9" s="16">
        <f t="shared" si="0"/>
        <v>218.54</v>
      </c>
      <c r="G9" s="8">
        <f t="shared" si="1"/>
        <v>23950</v>
      </c>
      <c r="H9" s="11">
        <v>126</v>
      </c>
      <c r="I9" s="22">
        <v>130.6</v>
      </c>
      <c r="J9" s="11" t="s">
        <v>49</v>
      </c>
      <c r="K9" s="4">
        <f t="shared" si="2"/>
        <v>107.83</v>
      </c>
      <c r="L9" s="17">
        <f t="shared" si="3"/>
        <v>238.43</v>
      </c>
      <c r="M9" s="9">
        <f t="shared" si="4"/>
        <v>23950</v>
      </c>
      <c r="N9" s="12">
        <v>128</v>
      </c>
      <c r="O9" s="6">
        <v>105.3</v>
      </c>
      <c r="P9" s="12" t="s">
        <v>51</v>
      </c>
      <c r="Q9" s="6">
        <f t="shared" si="5"/>
        <v>198.85</v>
      </c>
      <c r="R9" s="18">
        <f t="shared" si="6"/>
        <v>304.14999999999998</v>
      </c>
    </row>
    <row r="10" spans="1:18" x14ac:dyDescent="0.3">
      <c r="A10" s="7">
        <v>25764</v>
      </c>
      <c r="B10" s="10">
        <v>124</v>
      </c>
      <c r="C10" s="20">
        <v>96</v>
      </c>
      <c r="D10" s="10" t="s">
        <v>45</v>
      </c>
      <c r="E10" s="2">
        <f>67.91+16.2+12.63</f>
        <v>96.74</v>
      </c>
      <c r="F10" s="16">
        <f t="shared" si="0"/>
        <v>192.74</v>
      </c>
      <c r="G10" s="8">
        <f t="shared" si="1"/>
        <v>25764</v>
      </c>
      <c r="H10" s="11">
        <v>126</v>
      </c>
      <c r="I10" s="22">
        <v>104.2</v>
      </c>
      <c r="J10" s="11" t="s">
        <v>49</v>
      </c>
      <c r="K10" s="4">
        <f t="shared" si="2"/>
        <v>107.83</v>
      </c>
      <c r="L10" s="17">
        <f t="shared" si="3"/>
        <v>212.03</v>
      </c>
      <c r="M10" s="9">
        <f t="shared" si="4"/>
        <v>25764</v>
      </c>
      <c r="N10" s="12">
        <v>128</v>
      </c>
      <c r="O10" s="6">
        <v>81.2</v>
      </c>
      <c r="P10" s="12" t="s">
        <v>51</v>
      </c>
      <c r="Q10" s="6">
        <f t="shared" si="5"/>
        <v>198.85</v>
      </c>
      <c r="R10" s="18">
        <f t="shared" si="6"/>
        <v>280.05</v>
      </c>
    </row>
    <row r="11" spans="1:18" x14ac:dyDescent="0.3">
      <c r="A11" s="7">
        <v>27227</v>
      </c>
      <c r="B11" s="10">
        <v>124</v>
      </c>
      <c r="C11" s="20">
        <v>73</v>
      </c>
      <c r="D11" s="10" t="s">
        <v>45</v>
      </c>
      <c r="E11" s="2">
        <f>67.91+16.2+12.63</f>
        <v>96.74</v>
      </c>
      <c r="F11" s="16">
        <f t="shared" si="0"/>
        <v>169.74</v>
      </c>
      <c r="G11" s="8">
        <f t="shared" si="1"/>
        <v>27227</v>
      </c>
      <c r="H11" s="11">
        <v>126</v>
      </c>
      <c r="I11" s="22">
        <v>85.6</v>
      </c>
      <c r="J11" s="11" t="s">
        <v>49</v>
      </c>
      <c r="K11" s="4">
        <f t="shared" si="2"/>
        <v>107.83</v>
      </c>
      <c r="L11" s="17">
        <f t="shared" si="3"/>
        <v>193.43</v>
      </c>
      <c r="M11" s="9">
        <f t="shared" si="4"/>
        <v>27227</v>
      </c>
      <c r="N11" s="12">
        <v>128</v>
      </c>
      <c r="O11" s="6">
        <v>62.1</v>
      </c>
      <c r="P11" s="12" t="s">
        <v>51</v>
      </c>
      <c r="Q11" s="6">
        <f t="shared" si="5"/>
        <v>198.85</v>
      </c>
      <c r="R11" s="18">
        <f t="shared" si="6"/>
        <v>260.95</v>
      </c>
    </row>
    <row r="12" spans="1:18" x14ac:dyDescent="0.3">
      <c r="A12" s="7">
        <v>29538</v>
      </c>
      <c r="B12" s="10" t="s">
        <v>46</v>
      </c>
      <c r="C12" s="20">
        <v>16.600000000000001</v>
      </c>
      <c r="D12" s="10" t="s">
        <v>45</v>
      </c>
      <c r="E12" s="2">
        <f>96.74+31.82</f>
        <v>128.56</v>
      </c>
      <c r="F12" s="16">
        <f t="shared" si="0"/>
        <v>145.16</v>
      </c>
      <c r="G12" s="8">
        <f t="shared" si="1"/>
        <v>29538</v>
      </c>
      <c r="H12" s="11">
        <v>126</v>
      </c>
      <c r="I12" s="22">
        <v>56.1</v>
      </c>
      <c r="J12" s="11" t="s">
        <v>49</v>
      </c>
      <c r="K12" s="4">
        <f t="shared" si="2"/>
        <v>107.83</v>
      </c>
      <c r="L12" s="17">
        <f t="shared" si="3"/>
        <v>163.93</v>
      </c>
      <c r="M12" s="9">
        <f t="shared" si="4"/>
        <v>29538</v>
      </c>
      <c r="N12" s="12">
        <v>128</v>
      </c>
      <c r="O12" s="6">
        <v>40.67</v>
      </c>
      <c r="P12" s="12" t="s">
        <v>51</v>
      </c>
      <c r="Q12" s="6">
        <f t="shared" si="5"/>
        <v>198.85</v>
      </c>
      <c r="R12" s="18">
        <f t="shared" si="6"/>
        <v>239.51999999999998</v>
      </c>
    </row>
    <row r="13" spans="1:18" x14ac:dyDescent="0.3">
      <c r="A13" s="7">
        <v>31715</v>
      </c>
      <c r="B13" s="10">
        <v>124</v>
      </c>
      <c r="C13" s="20">
        <v>27.1</v>
      </c>
      <c r="D13" s="10" t="s">
        <v>45</v>
      </c>
      <c r="E13" s="2">
        <f>67.91+16.2+12.63</f>
        <v>96.74</v>
      </c>
      <c r="F13" s="16">
        <f t="shared" si="0"/>
        <v>123.84</v>
      </c>
      <c r="G13" s="8">
        <f t="shared" si="1"/>
        <v>31715</v>
      </c>
      <c r="H13" s="11">
        <v>126</v>
      </c>
      <c r="I13" s="22">
        <v>33.65</v>
      </c>
      <c r="J13" s="11" t="s">
        <v>49</v>
      </c>
      <c r="K13" s="4">
        <f t="shared" si="2"/>
        <v>107.83</v>
      </c>
      <c r="L13" s="17">
        <f t="shared" si="3"/>
        <v>141.47999999999999</v>
      </c>
      <c r="M13" s="9">
        <f t="shared" si="4"/>
        <v>31715</v>
      </c>
      <c r="N13" s="12">
        <v>128</v>
      </c>
      <c r="O13" s="6">
        <v>16.3</v>
      </c>
      <c r="P13" s="12" t="s">
        <v>51</v>
      </c>
      <c r="Q13" s="6">
        <f t="shared" si="5"/>
        <v>198.85</v>
      </c>
      <c r="R13" s="18">
        <f t="shared" si="6"/>
        <v>215.15</v>
      </c>
    </row>
    <row r="14" spans="1:18" x14ac:dyDescent="0.3">
      <c r="A14" s="7">
        <v>33528</v>
      </c>
      <c r="B14" s="10">
        <v>124</v>
      </c>
      <c r="C14" s="20">
        <v>5.4</v>
      </c>
      <c r="D14" s="10" t="s">
        <v>45</v>
      </c>
      <c r="E14" s="2">
        <f>67.91+16.2+12.63</f>
        <v>96.74</v>
      </c>
      <c r="F14" s="16">
        <f t="shared" si="0"/>
        <v>102.14</v>
      </c>
      <c r="G14" s="8">
        <f t="shared" si="1"/>
        <v>33528</v>
      </c>
      <c r="H14" s="11">
        <v>126</v>
      </c>
      <c r="I14" s="22">
        <v>12.63</v>
      </c>
      <c r="J14" s="11" t="s">
        <v>49</v>
      </c>
      <c r="K14" s="4">
        <f t="shared" si="2"/>
        <v>107.83</v>
      </c>
      <c r="L14" s="17">
        <f t="shared" si="3"/>
        <v>120.46</v>
      </c>
      <c r="M14" s="9">
        <f t="shared" si="4"/>
        <v>33528</v>
      </c>
      <c r="N14" s="12" t="s">
        <v>52</v>
      </c>
      <c r="O14" s="6">
        <v>73.23</v>
      </c>
      <c r="P14" s="12" t="s">
        <v>51</v>
      </c>
      <c r="Q14" s="6">
        <v>118.85</v>
      </c>
      <c r="R14" s="18">
        <f t="shared" si="6"/>
        <v>192.07999999999998</v>
      </c>
    </row>
    <row r="15" spans="1:18" x14ac:dyDescent="0.3">
      <c r="A15" s="7">
        <v>34898</v>
      </c>
      <c r="B15" s="10" t="s">
        <v>47</v>
      </c>
      <c r="C15" s="20">
        <v>14.2</v>
      </c>
      <c r="D15" s="10" t="s">
        <v>45</v>
      </c>
      <c r="E15" s="2">
        <f>35.42+28.41+4.08</f>
        <v>67.91</v>
      </c>
      <c r="F15" s="16">
        <f t="shared" si="0"/>
        <v>82.11</v>
      </c>
      <c r="G15" s="8">
        <f t="shared" si="1"/>
        <v>34898</v>
      </c>
      <c r="H15" s="11" t="s">
        <v>49</v>
      </c>
      <c r="I15" s="22">
        <v>104.04</v>
      </c>
      <c r="J15" s="11" t="s">
        <v>49</v>
      </c>
      <c r="K15" s="4">
        <v>0</v>
      </c>
      <c r="L15" s="17">
        <f t="shared" si="3"/>
        <v>104.04</v>
      </c>
      <c r="M15" s="9">
        <f t="shared" si="4"/>
        <v>34898</v>
      </c>
      <c r="N15" s="12" t="s">
        <v>52</v>
      </c>
      <c r="O15" s="6">
        <v>55.5</v>
      </c>
      <c r="P15" s="12" t="s">
        <v>51</v>
      </c>
      <c r="Q15" s="6">
        <v>118.85</v>
      </c>
      <c r="R15" s="18">
        <f t="shared" si="6"/>
        <v>174.35</v>
      </c>
    </row>
    <row r="16" spans="1:18" x14ac:dyDescent="0.3">
      <c r="A16" s="7">
        <v>36343</v>
      </c>
      <c r="B16" s="10">
        <v>124</v>
      </c>
      <c r="C16" s="20">
        <v>-22.31</v>
      </c>
      <c r="D16" s="10" t="s">
        <v>45</v>
      </c>
      <c r="E16" s="2">
        <f>67.91+16.2+12.63</f>
        <v>96.74</v>
      </c>
      <c r="F16" s="16">
        <f t="shared" si="0"/>
        <v>74.429999999999993</v>
      </c>
      <c r="G16" s="8">
        <f t="shared" si="1"/>
        <v>36343</v>
      </c>
      <c r="H16" s="11" t="s">
        <v>49</v>
      </c>
      <c r="I16" s="22">
        <v>90.13</v>
      </c>
      <c r="J16" s="11" t="s">
        <v>49</v>
      </c>
      <c r="K16" s="4">
        <v>0</v>
      </c>
      <c r="L16" s="17">
        <f t="shared" si="3"/>
        <v>90.13</v>
      </c>
      <c r="M16" s="9">
        <f t="shared" si="4"/>
        <v>36343</v>
      </c>
      <c r="N16" s="12" t="s">
        <v>52</v>
      </c>
      <c r="O16" s="6">
        <v>43.13</v>
      </c>
      <c r="P16" s="12" t="s">
        <v>51</v>
      </c>
      <c r="Q16" s="6">
        <v>118.85</v>
      </c>
      <c r="R16" s="18">
        <f t="shared" si="6"/>
        <v>161.97999999999999</v>
      </c>
    </row>
    <row r="17" spans="1:19" x14ac:dyDescent="0.3">
      <c r="A17" s="7">
        <v>36714</v>
      </c>
      <c r="B17" s="10" t="s">
        <v>48</v>
      </c>
      <c r="C17" s="20">
        <v>27.28</v>
      </c>
      <c r="D17" s="10" t="s">
        <v>45</v>
      </c>
      <c r="E17" s="2">
        <f>25.74+9.68</f>
        <v>35.42</v>
      </c>
      <c r="F17" s="16">
        <f t="shared" si="0"/>
        <v>62.7</v>
      </c>
      <c r="G17" s="8">
        <f t="shared" si="1"/>
        <v>36714</v>
      </c>
      <c r="H17" s="11" t="s">
        <v>50</v>
      </c>
      <c r="I17" s="22">
        <v>189.44</v>
      </c>
      <c r="J17" s="11" t="s">
        <v>49</v>
      </c>
      <c r="K17" s="4">
        <v>-104.14</v>
      </c>
      <c r="L17" s="17">
        <f t="shared" si="3"/>
        <v>85.3</v>
      </c>
      <c r="M17" s="9">
        <f t="shared" si="4"/>
        <v>36714</v>
      </c>
      <c r="N17" s="12" t="s">
        <v>52</v>
      </c>
      <c r="O17" s="6">
        <v>37.99</v>
      </c>
      <c r="P17" s="12" t="s">
        <v>51</v>
      </c>
      <c r="Q17" s="6">
        <v>118.85</v>
      </c>
      <c r="R17" s="18">
        <f t="shared" si="6"/>
        <v>156.84</v>
      </c>
    </row>
    <row r="18" spans="1:19" x14ac:dyDescent="0.3">
      <c r="A18" s="7">
        <v>37079</v>
      </c>
      <c r="C18" s="20"/>
      <c r="F18" s="16"/>
      <c r="G18" s="8">
        <f t="shared" si="1"/>
        <v>37079</v>
      </c>
      <c r="I18" s="22"/>
      <c r="L18" s="17"/>
      <c r="M18" s="9">
        <f t="shared" si="4"/>
        <v>37079</v>
      </c>
      <c r="N18" s="27" t="s">
        <v>52</v>
      </c>
      <c r="O18" s="6">
        <v>34.54</v>
      </c>
      <c r="P18" s="12" t="s">
        <v>51</v>
      </c>
      <c r="Q18" s="6">
        <v>118.85</v>
      </c>
      <c r="R18" s="18">
        <f>Q18+O18</f>
        <v>153.38999999999999</v>
      </c>
    </row>
    <row r="19" spans="1:19" x14ac:dyDescent="0.3">
      <c r="A19" s="7">
        <v>38636</v>
      </c>
      <c r="B19" s="10" t="s">
        <v>48</v>
      </c>
      <c r="C19" s="20">
        <v>8.4</v>
      </c>
      <c r="D19" s="10" t="s">
        <v>45</v>
      </c>
      <c r="E19" s="2">
        <f>25.74+9.68</f>
        <v>35.42</v>
      </c>
      <c r="F19" s="16">
        <f t="shared" si="0"/>
        <v>43.82</v>
      </c>
      <c r="G19" s="8">
        <f t="shared" si="1"/>
        <v>38636</v>
      </c>
      <c r="H19" s="11" t="s">
        <v>49</v>
      </c>
      <c r="I19" s="22">
        <v>67.430000000000007</v>
      </c>
      <c r="J19" s="11" t="s">
        <v>49</v>
      </c>
      <c r="K19" s="4">
        <v>0</v>
      </c>
      <c r="L19" s="17">
        <f t="shared" si="3"/>
        <v>67.430000000000007</v>
      </c>
      <c r="M19" s="9">
        <f t="shared" si="4"/>
        <v>38636</v>
      </c>
      <c r="N19" s="12" t="s">
        <v>52</v>
      </c>
      <c r="O19" s="6">
        <v>18.100000000000001</v>
      </c>
      <c r="P19" s="12" t="s">
        <v>51</v>
      </c>
      <c r="Q19" s="6">
        <v>118.85</v>
      </c>
      <c r="R19" s="18">
        <f t="shared" si="6"/>
        <v>136.94999999999999</v>
      </c>
    </row>
    <row r="20" spans="1:19" x14ac:dyDescent="0.3">
      <c r="A20" s="7">
        <v>38917</v>
      </c>
      <c r="B20" s="10" t="s">
        <v>48</v>
      </c>
      <c r="C20" s="20">
        <v>5.0999999999999996</v>
      </c>
      <c r="D20" s="10" t="s">
        <v>45</v>
      </c>
      <c r="E20" s="2">
        <f>25.74+9.68</f>
        <v>35.42</v>
      </c>
      <c r="F20" s="16">
        <f t="shared" si="0"/>
        <v>40.520000000000003</v>
      </c>
      <c r="G20" s="8">
        <f t="shared" si="1"/>
        <v>38917</v>
      </c>
      <c r="H20" s="11" t="s">
        <v>49</v>
      </c>
      <c r="I20" s="22">
        <f>(64.71+64.58+64.72)/3</f>
        <v>64.67</v>
      </c>
      <c r="J20" s="11" t="s">
        <v>49</v>
      </c>
      <c r="K20" s="4">
        <v>0</v>
      </c>
      <c r="L20" s="17">
        <f t="shared" si="3"/>
        <v>64.67</v>
      </c>
      <c r="M20" s="9">
        <f t="shared" si="4"/>
        <v>38917</v>
      </c>
      <c r="N20" s="27" t="s">
        <v>52</v>
      </c>
      <c r="O20" s="6">
        <v>15.94</v>
      </c>
      <c r="P20" s="27" t="s">
        <v>51</v>
      </c>
      <c r="Q20" s="6">
        <v>118.85</v>
      </c>
      <c r="R20" s="18">
        <f t="shared" si="6"/>
        <v>134.79</v>
      </c>
    </row>
    <row r="21" spans="1:19" x14ac:dyDescent="0.3">
      <c r="A21" s="7">
        <v>38993</v>
      </c>
      <c r="B21" s="10" t="s">
        <v>48</v>
      </c>
      <c r="C21" s="20">
        <v>3.59</v>
      </c>
      <c r="D21" s="10" t="s">
        <v>45</v>
      </c>
      <c r="E21" s="2">
        <f>25.74+9.68</f>
        <v>35.42</v>
      </c>
      <c r="F21" s="16">
        <f t="shared" si="0"/>
        <v>39.010000000000005</v>
      </c>
      <c r="G21" s="8">
        <f t="shared" si="1"/>
        <v>38993</v>
      </c>
      <c r="H21" s="11" t="s">
        <v>49</v>
      </c>
      <c r="I21" s="22">
        <v>61.92</v>
      </c>
      <c r="J21" s="11" t="s">
        <v>49</v>
      </c>
      <c r="K21" s="4">
        <v>0</v>
      </c>
      <c r="L21" s="17">
        <f t="shared" si="3"/>
        <v>61.92</v>
      </c>
      <c r="M21" s="9">
        <f t="shared" si="4"/>
        <v>38993</v>
      </c>
      <c r="N21" s="12" t="s">
        <v>52</v>
      </c>
      <c r="O21" s="6">
        <v>16.5</v>
      </c>
      <c r="P21" s="12" t="s">
        <v>51</v>
      </c>
      <c r="Q21" s="6">
        <v>118.85</v>
      </c>
      <c r="R21" s="18">
        <f t="shared" si="6"/>
        <v>135.35</v>
      </c>
    </row>
    <row r="22" spans="1:19" x14ac:dyDescent="0.3">
      <c r="A22" s="7">
        <v>40011</v>
      </c>
      <c r="B22" s="10" t="s">
        <v>45</v>
      </c>
      <c r="C22" s="20">
        <v>29.85</v>
      </c>
      <c r="D22" s="10" t="s">
        <v>45</v>
      </c>
      <c r="E22" s="2">
        <v>0</v>
      </c>
      <c r="F22" s="16">
        <f t="shared" si="0"/>
        <v>29.85</v>
      </c>
      <c r="G22" s="8">
        <f t="shared" si="1"/>
        <v>40011</v>
      </c>
      <c r="H22" s="11" t="s">
        <v>75</v>
      </c>
      <c r="I22" s="22">
        <v>50.7</v>
      </c>
      <c r="J22" s="11" t="s">
        <v>75</v>
      </c>
      <c r="K22" s="4">
        <v>0</v>
      </c>
      <c r="L22" s="17">
        <f t="shared" si="3"/>
        <v>50.7</v>
      </c>
      <c r="M22" s="9">
        <f t="shared" si="4"/>
        <v>40011</v>
      </c>
      <c r="N22" s="12" t="s">
        <v>77</v>
      </c>
      <c r="O22" s="6">
        <v>243.05</v>
      </c>
      <c r="P22" s="12" t="s">
        <v>51</v>
      </c>
      <c r="Q22" s="23">
        <v>-115.9</v>
      </c>
      <c r="R22" s="18">
        <f t="shared" si="6"/>
        <v>127.15</v>
      </c>
      <c r="S22" t="s">
        <v>76</v>
      </c>
    </row>
    <row r="23" spans="1:19" x14ac:dyDescent="0.3">
      <c r="A23" s="7">
        <v>40381</v>
      </c>
      <c r="B23" s="10" t="s">
        <v>45</v>
      </c>
      <c r="C23" s="20">
        <v>27.56</v>
      </c>
      <c r="D23" s="10" t="s">
        <v>45</v>
      </c>
      <c r="E23" s="2">
        <v>0</v>
      </c>
      <c r="F23" s="1">
        <f t="shared" si="0"/>
        <v>27.56</v>
      </c>
      <c r="G23" s="8">
        <f t="shared" si="1"/>
        <v>40381</v>
      </c>
      <c r="H23" s="30" t="s">
        <v>115</v>
      </c>
      <c r="I23" s="22">
        <v>49.66</v>
      </c>
      <c r="J23" s="30" t="s">
        <v>115</v>
      </c>
      <c r="K23" s="4">
        <v>0</v>
      </c>
      <c r="L23" s="32">
        <f t="shared" si="3"/>
        <v>49.66</v>
      </c>
      <c r="M23" s="9">
        <f t="shared" si="4"/>
        <v>40381</v>
      </c>
      <c r="N23" s="31" t="s">
        <v>116</v>
      </c>
      <c r="O23" s="6">
        <v>123.35</v>
      </c>
      <c r="P23" s="31" t="s">
        <v>116</v>
      </c>
      <c r="Q23" s="23">
        <v>0</v>
      </c>
      <c r="R23" s="33">
        <f t="shared" si="6"/>
        <v>123.35</v>
      </c>
    </row>
    <row r="24" spans="1:19" x14ac:dyDescent="0.3">
      <c r="A24" s="7">
        <v>40799</v>
      </c>
      <c r="B24" s="10" t="s">
        <v>45</v>
      </c>
      <c r="C24" s="20">
        <v>26.38</v>
      </c>
      <c r="D24" s="10" t="s">
        <v>45</v>
      </c>
      <c r="E24" s="2">
        <v>0</v>
      </c>
      <c r="F24" s="16">
        <f>C24+E24</f>
        <v>26.38</v>
      </c>
      <c r="G24" s="8">
        <f t="shared" si="1"/>
        <v>40799</v>
      </c>
      <c r="H24" s="30" t="s">
        <v>123</v>
      </c>
      <c r="I24" s="4">
        <v>177.51</v>
      </c>
      <c r="J24" s="30" t="s">
        <v>115</v>
      </c>
      <c r="K24" s="4">
        <v>-128.13</v>
      </c>
      <c r="L24" s="32">
        <f t="shared" si="3"/>
        <v>49.379999999999995</v>
      </c>
      <c r="M24" s="9">
        <f t="shared" si="4"/>
        <v>40799</v>
      </c>
      <c r="N24" s="31" t="s">
        <v>116</v>
      </c>
      <c r="O24" s="6">
        <v>122.69</v>
      </c>
      <c r="P24" s="31" t="s">
        <v>116</v>
      </c>
      <c r="Q24" s="6">
        <v>0</v>
      </c>
      <c r="R24" s="33">
        <f t="shared" si="6"/>
        <v>122.69</v>
      </c>
    </row>
    <row r="25" spans="1:19" x14ac:dyDescent="0.3">
      <c r="A25" s="7">
        <v>41177</v>
      </c>
      <c r="B25" s="10" t="s">
        <v>45</v>
      </c>
      <c r="C25" s="20">
        <v>25.7</v>
      </c>
      <c r="D25" s="10" t="s">
        <v>45</v>
      </c>
      <c r="E25" s="2">
        <v>0</v>
      </c>
      <c r="F25" s="16">
        <f>C25+E25</f>
        <v>25.7</v>
      </c>
      <c r="G25" s="8">
        <f t="shared" si="1"/>
        <v>41177</v>
      </c>
      <c r="M25" s="9">
        <f t="shared" si="4"/>
        <v>41177</v>
      </c>
      <c r="S25" s="29" t="s">
        <v>128</v>
      </c>
    </row>
    <row r="26" spans="1:19" x14ac:dyDescent="0.3">
      <c r="A26" s="7">
        <v>41467</v>
      </c>
      <c r="B26" s="10" t="s">
        <v>45</v>
      </c>
      <c r="C26" s="2">
        <v>24.33</v>
      </c>
      <c r="D26" s="10" t="s">
        <v>45</v>
      </c>
      <c r="E26" s="2">
        <v>0</v>
      </c>
      <c r="F26" s="16">
        <f>C26+E26</f>
        <v>24.33</v>
      </c>
      <c r="G26" s="8">
        <f t="shared" si="1"/>
        <v>41467</v>
      </c>
      <c r="H26" s="30" t="s">
        <v>134</v>
      </c>
      <c r="I26" s="4">
        <v>173.99</v>
      </c>
      <c r="J26" s="30" t="s">
        <v>115</v>
      </c>
      <c r="K26" s="4">
        <v>-128.13</v>
      </c>
      <c r="L26" s="32">
        <f t="shared" ref="L26:L31" si="7">K26+I26</f>
        <v>45.860000000000014</v>
      </c>
      <c r="M26" s="9">
        <f t="shared" si="4"/>
        <v>41467</v>
      </c>
      <c r="N26" s="12" t="s">
        <v>77</v>
      </c>
      <c r="O26" s="23">
        <v>234</v>
      </c>
      <c r="P26" s="31" t="s">
        <v>116</v>
      </c>
      <c r="Q26" s="6">
        <v>-115.99</v>
      </c>
      <c r="R26" s="33">
        <f t="shared" si="6"/>
        <v>118.01</v>
      </c>
    </row>
    <row r="27" spans="1:19" x14ac:dyDescent="0.3">
      <c r="A27" s="7">
        <v>42199</v>
      </c>
      <c r="B27" s="28" t="s">
        <v>108</v>
      </c>
      <c r="C27" s="2">
        <v>22.1</v>
      </c>
      <c r="D27" s="28" t="s">
        <v>108</v>
      </c>
      <c r="E27" s="2">
        <v>0</v>
      </c>
      <c r="F27" s="16">
        <f>C27+E27</f>
        <v>22.1</v>
      </c>
      <c r="G27" s="8">
        <f t="shared" si="1"/>
        <v>42199</v>
      </c>
      <c r="H27" s="11" t="s">
        <v>143</v>
      </c>
      <c r="I27" s="4">
        <v>229.35</v>
      </c>
      <c r="J27" s="30" t="s">
        <v>115</v>
      </c>
      <c r="K27" s="4">
        <v>-174.72</v>
      </c>
      <c r="L27" s="166">
        <f t="shared" si="7"/>
        <v>54.629999999999995</v>
      </c>
      <c r="M27" s="9">
        <f t="shared" si="4"/>
        <v>42199</v>
      </c>
      <c r="N27" s="31" t="s">
        <v>77</v>
      </c>
      <c r="O27" s="6">
        <v>228.43</v>
      </c>
      <c r="P27" s="31" t="s">
        <v>116</v>
      </c>
      <c r="Q27" s="6">
        <v>-115.99</v>
      </c>
      <c r="R27" s="33">
        <f t="shared" si="6"/>
        <v>112.44000000000001</v>
      </c>
      <c r="S27" s="29" t="s">
        <v>146</v>
      </c>
    </row>
    <row r="28" spans="1:19" x14ac:dyDescent="0.3">
      <c r="A28" s="7">
        <v>42516</v>
      </c>
      <c r="B28" s="28" t="s">
        <v>108</v>
      </c>
      <c r="C28" s="2">
        <v>19.920000000000002</v>
      </c>
      <c r="D28" s="28" t="s">
        <v>108</v>
      </c>
      <c r="E28" s="2">
        <v>0</v>
      </c>
      <c r="F28" s="1">
        <f>C28+E28</f>
        <v>19.920000000000002</v>
      </c>
      <c r="G28" s="8">
        <f t="shared" si="1"/>
        <v>42516</v>
      </c>
      <c r="H28" s="11" t="s">
        <v>143</v>
      </c>
      <c r="I28" s="4">
        <v>216.72</v>
      </c>
      <c r="J28" s="30" t="s">
        <v>115</v>
      </c>
      <c r="K28" s="4">
        <v>-174.72</v>
      </c>
      <c r="L28" s="50">
        <f t="shared" si="7"/>
        <v>42</v>
      </c>
      <c r="M28" s="9">
        <f t="shared" si="4"/>
        <v>42516</v>
      </c>
      <c r="N28" s="12" t="s">
        <v>77</v>
      </c>
      <c r="O28" s="6">
        <v>225.98</v>
      </c>
      <c r="P28" s="31" t="s">
        <v>116</v>
      </c>
      <c r="Q28" s="6">
        <v>-115.99</v>
      </c>
      <c r="R28" s="33">
        <f t="shared" si="6"/>
        <v>109.99</v>
      </c>
      <c r="S28" s="29" t="s">
        <v>146</v>
      </c>
    </row>
    <row r="29" spans="1:19" x14ac:dyDescent="0.3">
      <c r="A29" s="7">
        <v>44385</v>
      </c>
      <c r="B29" s="28" t="s">
        <v>108</v>
      </c>
      <c r="G29" s="8">
        <f t="shared" si="1"/>
        <v>44385</v>
      </c>
      <c r="H29" s="30" t="s">
        <v>240</v>
      </c>
      <c r="I29" s="4">
        <v>239.22</v>
      </c>
      <c r="J29" s="30" t="s">
        <v>115</v>
      </c>
      <c r="K29" s="4">
        <v>-210.89</v>
      </c>
      <c r="L29" s="32">
        <f t="shared" si="7"/>
        <v>28.330000000000013</v>
      </c>
      <c r="M29" s="9">
        <f t="shared" si="4"/>
        <v>44385</v>
      </c>
      <c r="N29" s="31" t="s">
        <v>241</v>
      </c>
      <c r="O29" s="6">
        <v>211.72</v>
      </c>
      <c r="P29" s="31" t="s">
        <v>116</v>
      </c>
      <c r="Q29" s="6">
        <v>-115.99</v>
      </c>
      <c r="R29" s="33">
        <f t="shared" si="6"/>
        <v>95.73</v>
      </c>
      <c r="S29" s="29" t="s">
        <v>239</v>
      </c>
    </row>
    <row r="30" spans="1:19" x14ac:dyDescent="0.3">
      <c r="A30" s="7">
        <v>44846</v>
      </c>
      <c r="B30" s="10" t="s">
        <v>108</v>
      </c>
      <c r="G30" s="8">
        <f t="shared" si="1"/>
        <v>44846</v>
      </c>
      <c r="H30" s="11" t="s">
        <v>143</v>
      </c>
      <c r="I30" s="4">
        <v>200.01</v>
      </c>
      <c r="J30" s="30" t="s">
        <v>115</v>
      </c>
      <c r="K30" s="4">
        <v>-174.72</v>
      </c>
      <c r="L30" s="32">
        <f t="shared" si="7"/>
        <v>25.289999999999992</v>
      </c>
      <c r="M30" s="9">
        <f t="shared" si="4"/>
        <v>44846</v>
      </c>
      <c r="N30" s="31" t="s">
        <v>77</v>
      </c>
      <c r="O30" s="6">
        <v>209.68</v>
      </c>
      <c r="P30" s="31" t="s">
        <v>116</v>
      </c>
      <c r="Q30" s="6">
        <v>-115.99</v>
      </c>
      <c r="R30" s="33">
        <f t="shared" si="6"/>
        <v>93.690000000000012</v>
      </c>
      <c r="S30" s="29" t="s">
        <v>239</v>
      </c>
    </row>
    <row r="31" spans="1:19" x14ac:dyDescent="0.3">
      <c r="A31" s="7">
        <v>45489</v>
      </c>
      <c r="B31" s="10" t="s">
        <v>108</v>
      </c>
      <c r="G31" s="8">
        <f t="shared" si="1"/>
        <v>45489</v>
      </c>
      <c r="H31" s="11" t="s">
        <v>143</v>
      </c>
      <c r="I31" s="4">
        <v>197.76</v>
      </c>
      <c r="J31" s="30" t="s">
        <v>115</v>
      </c>
      <c r="K31" s="4">
        <v>-174.72</v>
      </c>
      <c r="L31" s="32">
        <f t="shared" si="7"/>
        <v>23.039999999999992</v>
      </c>
      <c r="M31" s="9">
        <f t="shared" si="4"/>
        <v>45489</v>
      </c>
      <c r="N31" s="31" t="s">
        <v>77</v>
      </c>
      <c r="O31" s="6">
        <v>204.92</v>
      </c>
      <c r="P31" s="31" t="s">
        <v>116</v>
      </c>
      <c r="Q31" s="6">
        <v>-115.99</v>
      </c>
      <c r="R31" s="33">
        <f t="shared" si="6"/>
        <v>88.929999999999993</v>
      </c>
      <c r="S31" s="29" t="s">
        <v>239</v>
      </c>
    </row>
    <row r="32" spans="1:19" x14ac:dyDescent="0.3">
      <c r="G32" s="8" t="str">
        <f t="shared" si="1"/>
        <v/>
      </c>
      <c r="M32" s="9" t="str">
        <f t="shared" si="4"/>
        <v/>
      </c>
    </row>
    <row r="33" spans="7:13" x14ac:dyDescent="0.3">
      <c r="G33" s="8" t="str">
        <f t="shared" si="1"/>
        <v/>
      </c>
      <c r="M33" s="9" t="str">
        <f t="shared" si="4"/>
        <v/>
      </c>
    </row>
    <row r="34" spans="7:13" x14ac:dyDescent="0.3">
      <c r="G34" s="8" t="str">
        <f t="shared" si="1"/>
        <v/>
      </c>
      <c r="M34" s="9" t="str">
        <f t="shared" si="4"/>
        <v/>
      </c>
    </row>
    <row r="35" spans="7:13" x14ac:dyDescent="0.3">
      <c r="G35" s="8" t="str">
        <f t="shared" si="1"/>
        <v/>
      </c>
      <c r="M35" s="9" t="str">
        <f t="shared" si="4"/>
        <v/>
      </c>
    </row>
    <row r="36" spans="7:13" x14ac:dyDescent="0.3">
      <c r="G36" s="8" t="str">
        <f t="shared" si="1"/>
        <v/>
      </c>
      <c r="M36" s="9" t="str">
        <f t="shared" si="4"/>
        <v/>
      </c>
    </row>
    <row r="37" spans="7:13" x14ac:dyDescent="0.3">
      <c r="G37" s="8" t="str">
        <f t="shared" si="1"/>
        <v/>
      </c>
      <c r="M37" s="9" t="str">
        <f t="shared" si="4"/>
        <v/>
      </c>
    </row>
    <row r="38" spans="7:13" x14ac:dyDescent="0.3">
      <c r="G38" s="8" t="str">
        <f t="shared" si="1"/>
        <v/>
      </c>
      <c r="M38" s="9" t="str">
        <f t="shared" si="4"/>
        <v/>
      </c>
    </row>
    <row r="39" spans="7:13" x14ac:dyDescent="0.3">
      <c r="G39" s="8" t="str">
        <f t="shared" si="1"/>
        <v/>
      </c>
      <c r="M39" s="9" t="str">
        <f t="shared" si="4"/>
        <v/>
      </c>
    </row>
    <row r="40" spans="7:13" x14ac:dyDescent="0.3">
      <c r="G40" s="8" t="str">
        <f t="shared" si="1"/>
        <v/>
      </c>
      <c r="M40" s="9" t="str">
        <f t="shared" si="4"/>
        <v/>
      </c>
    </row>
    <row r="41" spans="7:13" x14ac:dyDescent="0.3">
      <c r="G41" s="8" t="str">
        <f t="shared" si="1"/>
        <v/>
      </c>
      <c r="M41" s="9" t="str">
        <f t="shared" si="4"/>
        <v/>
      </c>
    </row>
    <row r="42" spans="7:13" x14ac:dyDescent="0.3">
      <c r="G42" s="8" t="str">
        <f t="shared" si="1"/>
        <v/>
      </c>
      <c r="M42" s="9" t="str">
        <f t="shared" si="4"/>
        <v/>
      </c>
    </row>
    <row r="43" spans="7:13" x14ac:dyDescent="0.3">
      <c r="G43" s="8" t="str">
        <f t="shared" si="1"/>
        <v/>
      </c>
      <c r="M43" s="9" t="str">
        <f t="shared" si="4"/>
        <v/>
      </c>
    </row>
    <row r="44" spans="7:13" x14ac:dyDescent="0.3">
      <c r="G44" s="8" t="str">
        <f t="shared" si="1"/>
        <v/>
      </c>
      <c r="M44" s="9" t="str">
        <f t="shared" si="4"/>
        <v/>
      </c>
    </row>
    <row r="45" spans="7:13" x14ac:dyDescent="0.3">
      <c r="G45" s="8" t="str">
        <f t="shared" si="1"/>
        <v/>
      </c>
      <c r="M45" s="9" t="str">
        <f t="shared" si="4"/>
        <v/>
      </c>
    </row>
    <row r="46" spans="7:13" x14ac:dyDescent="0.3">
      <c r="G46" s="8" t="str">
        <f t="shared" si="1"/>
        <v/>
      </c>
      <c r="M46" s="9" t="str">
        <f t="shared" si="4"/>
        <v/>
      </c>
    </row>
    <row r="47" spans="7:13" x14ac:dyDescent="0.3">
      <c r="G47" s="8" t="str">
        <f t="shared" si="1"/>
        <v/>
      </c>
      <c r="M47" s="9" t="str">
        <f t="shared" si="4"/>
        <v/>
      </c>
    </row>
    <row r="48" spans="7:13" x14ac:dyDescent="0.3">
      <c r="G48" s="8" t="str">
        <f t="shared" si="1"/>
        <v/>
      </c>
      <c r="M48" s="9" t="str">
        <f t="shared" si="4"/>
        <v/>
      </c>
    </row>
    <row r="49" spans="7:13" x14ac:dyDescent="0.3">
      <c r="G49" s="8" t="str">
        <f t="shared" si="1"/>
        <v/>
      </c>
      <c r="M49" s="9" t="str">
        <f t="shared" si="4"/>
        <v/>
      </c>
    </row>
    <row r="50" spans="7:13" x14ac:dyDescent="0.3">
      <c r="G50" s="8" t="str">
        <f t="shared" si="1"/>
        <v/>
      </c>
      <c r="M50" s="9" t="str">
        <f t="shared" si="4"/>
        <v/>
      </c>
    </row>
    <row r="51" spans="7:13" x14ac:dyDescent="0.3">
      <c r="G51" s="8" t="str">
        <f t="shared" si="1"/>
        <v/>
      </c>
      <c r="M51" s="9" t="str">
        <f t="shared" si="4"/>
        <v/>
      </c>
    </row>
    <row r="52" spans="7:13" x14ac:dyDescent="0.3">
      <c r="G52" s="8" t="str">
        <f t="shared" si="1"/>
        <v/>
      </c>
      <c r="M52" s="9" t="str">
        <f t="shared" si="4"/>
        <v/>
      </c>
    </row>
    <row r="53" spans="7:13" x14ac:dyDescent="0.3">
      <c r="G53" s="8" t="str">
        <f t="shared" si="1"/>
        <v/>
      </c>
      <c r="M53" s="9" t="str">
        <f t="shared" si="4"/>
        <v/>
      </c>
    </row>
    <row r="54" spans="7:13" x14ac:dyDescent="0.3">
      <c r="G54" s="8" t="str">
        <f t="shared" si="1"/>
        <v/>
      </c>
      <c r="M54" s="9" t="str">
        <f t="shared" si="4"/>
        <v/>
      </c>
    </row>
    <row r="55" spans="7:13" x14ac:dyDescent="0.3">
      <c r="G55" s="8" t="str">
        <f t="shared" si="1"/>
        <v/>
      </c>
      <c r="M55" s="9" t="str">
        <f t="shared" si="4"/>
        <v/>
      </c>
    </row>
    <row r="56" spans="7:13" x14ac:dyDescent="0.3">
      <c r="G56" s="8" t="str">
        <f t="shared" si="1"/>
        <v/>
      </c>
      <c r="M56" s="9" t="str">
        <f t="shared" si="4"/>
        <v/>
      </c>
    </row>
    <row r="57" spans="7:13" x14ac:dyDescent="0.3">
      <c r="G57" s="8" t="str">
        <f t="shared" si="1"/>
        <v/>
      </c>
      <c r="M57" s="9" t="str">
        <f t="shared" si="4"/>
        <v/>
      </c>
    </row>
    <row r="58" spans="7:13" x14ac:dyDescent="0.3">
      <c r="G58" s="8" t="str">
        <f t="shared" si="1"/>
        <v/>
      </c>
      <c r="M58" s="9" t="str">
        <f t="shared" si="4"/>
        <v/>
      </c>
    </row>
    <row r="59" spans="7:13" x14ac:dyDescent="0.3">
      <c r="G59" s="8" t="str">
        <f t="shared" si="1"/>
        <v/>
      </c>
      <c r="M59" s="9" t="str">
        <f t="shared" si="4"/>
        <v/>
      </c>
    </row>
    <row r="60" spans="7:13" x14ac:dyDescent="0.3">
      <c r="G60" s="8" t="str">
        <f t="shared" si="1"/>
        <v/>
      </c>
      <c r="M60" s="9" t="str">
        <f t="shared" si="4"/>
        <v/>
      </c>
    </row>
    <row r="61" spans="7:13" x14ac:dyDescent="0.3">
      <c r="G61" s="8" t="str">
        <f t="shared" si="1"/>
        <v/>
      </c>
      <c r="M61" s="9" t="str">
        <f t="shared" si="4"/>
        <v/>
      </c>
    </row>
    <row r="62" spans="7:13" x14ac:dyDescent="0.3">
      <c r="G62" s="8" t="str">
        <f t="shared" si="1"/>
        <v/>
      </c>
      <c r="M62" s="9" t="str">
        <f t="shared" si="4"/>
        <v/>
      </c>
    </row>
    <row r="63" spans="7:13" x14ac:dyDescent="0.3">
      <c r="G63" s="8" t="str">
        <f t="shared" si="1"/>
        <v/>
      </c>
      <c r="M63" s="9" t="str">
        <f t="shared" si="4"/>
        <v/>
      </c>
    </row>
    <row r="64" spans="7:13" x14ac:dyDescent="0.3">
      <c r="G64" s="8" t="str">
        <f t="shared" si="1"/>
        <v/>
      </c>
      <c r="M64" s="9" t="str">
        <f t="shared" si="4"/>
        <v/>
      </c>
    </row>
    <row r="65" spans="7:13" x14ac:dyDescent="0.3">
      <c r="G65" s="8" t="str">
        <f t="shared" si="1"/>
        <v/>
      </c>
      <c r="M65" s="9" t="str">
        <f t="shared" si="4"/>
        <v/>
      </c>
    </row>
    <row r="66" spans="7:13" x14ac:dyDescent="0.3">
      <c r="G66" s="8" t="str">
        <f t="shared" si="1"/>
        <v/>
      </c>
      <c r="M66" s="9" t="str">
        <f t="shared" si="4"/>
        <v/>
      </c>
    </row>
    <row r="67" spans="7:13" x14ac:dyDescent="0.3">
      <c r="G67" s="8" t="str">
        <f t="shared" si="1"/>
        <v/>
      </c>
      <c r="M67" s="9" t="str">
        <f t="shared" si="4"/>
        <v/>
      </c>
    </row>
    <row r="68" spans="7:13" x14ac:dyDescent="0.3">
      <c r="G68" s="8" t="str">
        <f t="shared" si="1"/>
        <v/>
      </c>
      <c r="M68" s="9" t="str">
        <f t="shared" si="4"/>
        <v/>
      </c>
    </row>
    <row r="69" spans="7:13" x14ac:dyDescent="0.3">
      <c r="G69" s="8" t="str">
        <f t="shared" si="1"/>
        <v/>
      </c>
      <c r="M69" s="9" t="str">
        <f t="shared" si="4"/>
        <v/>
      </c>
    </row>
    <row r="70" spans="7:13" x14ac:dyDescent="0.3">
      <c r="G70" s="8" t="str">
        <f t="shared" si="1"/>
        <v/>
      </c>
      <c r="M70" s="9" t="str">
        <f t="shared" si="4"/>
        <v/>
      </c>
    </row>
    <row r="71" spans="7:13" x14ac:dyDescent="0.3">
      <c r="G71" s="8" t="str">
        <f t="shared" si="1"/>
        <v/>
      </c>
      <c r="M71" s="9" t="str">
        <f t="shared" si="4"/>
        <v/>
      </c>
    </row>
    <row r="72" spans="7:13" x14ac:dyDescent="0.3">
      <c r="G72" s="8" t="str">
        <f t="shared" si="1"/>
        <v/>
      </c>
      <c r="M72" s="9" t="str">
        <f t="shared" si="4"/>
        <v/>
      </c>
    </row>
    <row r="73" spans="7:13" x14ac:dyDescent="0.3">
      <c r="G73" s="8" t="str">
        <f t="shared" si="1"/>
        <v/>
      </c>
      <c r="M73" s="9" t="str">
        <f t="shared" si="4"/>
        <v/>
      </c>
    </row>
    <row r="74" spans="7:13" x14ac:dyDescent="0.3">
      <c r="G74" s="8" t="str">
        <f t="shared" ref="G74:G82" si="8">IF(ISNUMBER(A74),A74,"")</f>
        <v/>
      </c>
      <c r="M74" s="9" t="str">
        <f t="shared" ref="M74:M82" si="9">IF(ISNUMBER(G74),G74,"")</f>
        <v/>
      </c>
    </row>
    <row r="75" spans="7:13" x14ac:dyDescent="0.3">
      <c r="G75" s="8" t="str">
        <f t="shared" si="8"/>
        <v/>
      </c>
      <c r="M75" s="9" t="str">
        <f t="shared" si="9"/>
        <v/>
      </c>
    </row>
    <row r="76" spans="7:13" x14ac:dyDescent="0.3">
      <c r="G76" s="8" t="str">
        <f t="shared" si="8"/>
        <v/>
      </c>
      <c r="M76" s="9" t="str">
        <f t="shared" si="9"/>
        <v/>
      </c>
    </row>
    <row r="77" spans="7:13" x14ac:dyDescent="0.3">
      <c r="G77" s="8" t="str">
        <f t="shared" si="8"/>
        <v/>
      </c>
      <c r="M77" s="9" t="str">
        <f t="shared" si="9"/>
        <v/>
      </c>
    </row>
    <row r="78" spans="7:13" x14ac:dyDescent="0.3">
      <c r="G78" s="8" t="str">
        <f t="shared" si="8"/>
        <v/>
      </c>
      <c r="M78" s="9" t="str">
        <f t="shared" si="9"/>
        <v/>
      </c>
    </row>
    <row r="79" spans="7:13" x14ac:dyDescent="0.3">
      <c r="G79" s="8" t="str">
        <f t="shared" si="8"/>
        <v/>
      </c>
      <c r="M79" s="9" t="str">
        <f t="shared" si="9"/>
        <v/>
      </c>
    </row>
    <row r="80" spans="7:13" x14ac:dyDescent="0.3">
      <c r="G80" s="8" t="str">
        <f t="shared" si="8"/>
        <v/>
      </c>
      <c r="M80" s="9" t="str">
        <f t="shared" si="9"/>
        <v/>
      </c>
    </row>
    <row r="81" spans="7:13" x14ac:dyDescent="0.3">
      <c r="G81" s="8" t="str">
        <f t="shared" si="8"/>
        <v/>
      </c>
      <c r="M81" s="9" t="str">
        <f t="shared" si="9"/>
        <v/>
      </c>
    </row>
    <row r="82" spans="7:13" x14ac:dyDescent="0.3">
      <c r="G82" s="8" t="str">
        <f t="shared" si="8"/>
        <v/>
      </c>
      <c r="M82" s="9" t="str">
        <f t="shared" si="9"/>
        <v/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topLeftCell="G1" workbookViewId="0">
      <selection activeCell="L29" sqref="L29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5" width="9.1796875" style="2" customWidth="1"/>
    <col min="6" max="6" width="9.1796875" style="1" customWidth="1"/>
    <col min="7" max="7" width="9.1796875" style="4" customWidth="1"/>
    <col min="8" max="8" width="9.1796875" style="11" customWidth="1"/>
    <col min="9" max="12" width="9.1796875" style="4" customWidth="1"/>
    <col min="13" max="13" width="9.1796875" style="6" customWidth="1"/>
    <col min="14" max="14" width="9.1796875" style="12" customWidth="1"/>
    <col min="15" max="18" width="9.1796875" style="6" customWidth="1"/>
    <col min="19" max="24" width="9.1796875" style="14" customWidth="1"/>
  </cols>
  <sheetData>
    <row r="1" spans="1:25" x14ac:dyDescent="0.3">
      <c r="A1" s="1" t="s">
        <v>29</v>
      </c>
      <c r="G1" s="3" t="s">
        <v>30</v>
      </c>
      <c r="M1" s="5" t="s">
        <v>31</v>
      </c>
      <c r="S1" s="13" t="s">
        <v>54</v>
      </c>
      <c r="Y1" s="29" t="s">
        <v>105</v>
      </c>
    </row>
    <row r="3" spans="1:25" x14ac:dyDescent="0.3">
      <c r="A3" s="2" t="s">
        <v>0</v>
      </c>
      <c r="B3" s="10" t="s">
        <v>1</v>
      </c>
      <c r="C3" s="2" t="s">
        <v>2</v>
      </c>
      <c r="D3" s="2" t="s">
        <v>4</v>
      </c>
      <c r="E3" s="2" t="s">
        <v>6</v>
      </c>
      <c r="F3" s="1" t="s">
        <v>6</v>
      </c>
      <c r="G3" s="4" t="s">
        <v>0</v>
      </c>
      <c r="H3" s="11" t="s">
        <v>1</v>
      </c>
      <c r="I3" s="4" t="s">
        <v>2</v>
      </c>
      <c r="J3" s="4" t="s">
        <v>4</v>
      </c>
      <c r="K3" s="4" t="s">
        <v>6</v>
      </c>
      <c r="L3" s="3" t="s">
        <v>6</v>
      </c>
      <c r="M3" s="6" t="s">
        <v>0</v>
      </c>
      <c r="N3" s="12" t="s">
        <v>1</v>
      </c>
      <c r="O3" s="6" t="s">
        <v>2</v>
      </c>
      <c r="P3" s="6" t="s">
        <v>4</v>
      </c>
      <c r="Q3" s="6" t="s">
        <v>6</v>
      </c>
      <c r="R3" s="5" t="s">
        <v>6</v>
      </c>
      <c r="S3" s="14" t="s">
        <v>0</v>
      </c>
      <c r="T3" s="14" t="s">
        <v>1</v>
      </c>
      <c r="U3" s="14" t="s">
        <v>2</v>
      </c>
      <c r="V3" s="14" t="s">
        <v>4</v>
      </c>
      <c r="W3" s="14" t="s">
        <v>6</v>
      </c>
      <c r="X3" s="13" t="s">
        <v>6</v>
      </c>
    </row>
    <row r="4" spans="1:25" x14ac:dyDescent="0.3">
      <c r="C4" s="2" t="s">
        <v>3</v>
      </c>
      <c r="D4" s="2" t="s">
        <v>5</v>
      </c>
      <c r="E4" s="2" t="s">
        <v>7</v>
      </c>
      <c r="F4" s="1" t="s">
        <v>9</v>
      </c>
      <c r="I4" s="4" t="s">
        <v>3</v>
      </c>
      <c r="J4" s="4" t="s">
        <v>5</v>
      </c>
      <c r="K4" s="4" t="s">
        <v>7</v>
      </c>
      <c r="L4" s="3" t="s">
        <v>9</v>
      </c>
      <c r="O4" s="6" t="s">
        <v>3</v>
      </c>
      <c r="P4" s="6" t="s">
        <v>5</v>
      </c>
      <c r="Q4" s="6" t="s">
        <v>7</v>
      </c>
      <c r="R4" s="5" t="s">
        <v>9</v>
      </c>
      <c r="U4" s="14" t="s">
        <v>3</v>
      </c>
      <c r="V4" s="14" t="s">
        <v>5</v>
      </c>
      <c r="W4" s="14" t="s">
        <v>7</v>
      </c>
      <c r="X4" s="13" t="s">
        <v>9</v>
      </c>
    </row>
    <row r="5" spans="1:25" x14ac:dyDescent="0.3">
      <c r="E5" s="2" t="s">
        <v>8</v>
      </c>
      <c r="F5" s="1" t="s">
        <v>8</v>
      </c>
      <c r="K5" s="4" t="s">
        <v>8</v>
      </c>
      <c r="L5" s="3" t="s">
        <v>8</v>
      </c>
      <c r="Q5" s="6" t="s">
        <v>8</v>
      </c>
      <c r="R5" s="5" t="s">
        <v>8</v>
      </c>
      <c r="W5" s="14" t="s">
        <v>8</v>
      </c>
      <c r="X5" s="13" t="s">
        <v>8</v>
      </c>
    </row>
    <row r="7" spans="1:25" x14ac:dyDescent="0.3">
      <c r="A7" s="7">
        <v>31956</v>
      </c>
      <c r="B7" s="10" t="s">
        <v>32</v>
      </c>
      <c r="C7" s="20">
        <v>4</v>
      </c>
      <c r="D7" s="2">
        <v>10</v>
      </c>
      <c r="E7" s="20">
        <f>44.23+22.4</f>
        <v>66.63</v>
      </c>
      <c r="F7" s="16">
        <f>E7+C7</f>
        <v>70.63</v>
      </c>
      <c r="G7" s="8">
        <f t="shared" ref="G7:G12" si="0">IF(ISNUMBER(A7),A7,"")</f>
        <v>31956</v>
      </c>
      <c r="H7" s="11" t="s">
        <v>33</v>
      </c>
      <c r="I7" s="4">
        <v>4.0999999999999996</v>
      </c>
      <c r="J7" s="4">
        <v>2</v>
      </c>
      <c r="K7" s="4">
        <v>20.170000000000002</v>
      </c>
      <c r="L7" s="17">
        <f>K7+I7</f>
        <v>24.270000000000003</v>
      </c>
      <c r="M7" s="9">
        <f t="shared" ref="M7:M12" si="1">IF(ISNUMBER(G7),G7,"")</f>
        <v>31956</v>
      </c>
      <c r="N7" s="12" t="s">
        <v>35</v>
      </c>
      <c r="O7" s="23">
        <v>4</v>
      </c>
      <c r="P7" s="6">
        <v>3</v>
      </c>
      <c r="Q7" s="6">
        <f>24.7</f>
        <v>24.7</v>
      </c>
      <c r="R7" s="18">
        <f>Q7+O7</f>
        <v>28.7</v>
      </c>
      <c r="S7" s="15">
        <f>IF(ISNUMBER(M7),M7,"")</f>
        <v>31956</v>
      </c>
    </row>
    <row r="8" spans="1:25" x14ac:dyDescent="0.3">
      <c r="A8" s="7">
        <v>32727</v>
      </c>
      <c r="B8" s="10" t="s">
        <v>53</v>
      </c>
      <c r="C8" s="20">
        <v>1.04</v>
      </c>
      <c r="D8" s="2">
        <v>10</v>
      </c>
      <c r="E8" s="20">
        <f>66.63+1.61+1.34</f>
        <v>69.58</v>
      </c>
      <c r="F8" s="16">
        <f t="shared" ref="F8:F24" si="2">E8+C8</f>
        <v>70.62</v>
      </c>
      <c r="G8" s="8">
        <f t="shared" si="0"/>
        <v>32727</v>
      </c>
      <c r="H8" s="11" t="s">
        <v>33</v>
      </c>
      <c r="I8" s="4">
        <v>4.0999999999999996</v>
      </c>
      <c r="J8" s="4">
        <v>2</v>
      </c>
      <c r="K8" s="4">
        <v>20.170000000000002</v>
      </c>
      <c r="L8" s="17">
        <f t="shared" ref="L8:L20" si="3">K8+I8</f>
        <v>24.270000000000003</v>
      </c>
      <c r="M8" s="9">
        <f t="shared" si="1"/>
        <v>32727</v>
      </c>
      <c r="N8" s="12" t="s">
        <v>55</v>
      </c>
      <c r="O8" s="23">
        <v>2.4700000000000002</v>
      </c>
      <c r="P8" s="6">
        <v>3</v>
      </c>
      <c r="Q8" s="6">
        <f>24.7+1.45</f>
        <v>26.15</v>
      </c>
      <c r="R8" s="18">
        <f t="shared" ref="R8:R20" si="4">Q8+O8</f>
        <v>28.619999999999997</v>
      </c>
      <c r="S8" s="15">
        <f t="shared" ref="S8:S76" si="5">IF(ISNUMBER(M8),M8,"")</f>
        <v>32727</v>
      </c>
    </row>
    <row r="9" spans="1:25" x14ac:dyDescent="0.3">
      <c r="A9" s="7">
        <v>34116</v>
      </c>
      <c r="B9" s="10">
        <v>1</v>
      </c>
      <c r="C9" s="20">
        <v>20.18</v>
      </c>
      <c r="D9" s="2">
        <v>10</v>
      </c>
      <c r="E9" s="20">
        <v>44.23</v>
      </c>
      <c r="F9" s="16">
        <f t="shared" si="2"/>
        <v>64.41</v>
      </c>
      <c r="G9" s="8">
        <f t="shared" si="0"/>
        <v>34116</v>
      </c>
      <c r="H9" s="11" t="s">
        <v>33</v>
      </c>
      <c r="I9" s="4">
        <v>3.8</v>
      </c>
      <c r="J9" s="4">
        <v>2</v>
      </c>
      <c r="K9" s="4">
        <v>20.170000000000002</v>
      </c>
      <c r="L9" s="17">
        <f t="shared" si="3"/>
        <v>23.970000000000002</v>
      </c>
      <c r="M9" s="9">
        <f t="shared" si="1"/>
        <v>34116</v>
      </c>
      <c r="N9" s="12" t="s">
        <v>35</v>
      </c>
      <c r="O9" s="23">
        <v>3.51</v>
      </c>
      <c r="P9" s="6">
        <v>3</v>
      </c>
      <c r="Q9" s="6">
        <f>24.7</f>
        <v>24.7</v>
      </c>
      <c r="R9" s="18">
        <f t="shared" si="4"/>
        <v>28.21</v>
      </c>
      <c r="S9" s="15">
        <f t="shared" si="5"/>
        <v>34116</v>
      </c>
      <c r="T9" s="14">
        <v>4</v>
      </c>
      <c r="U9" s="36">
        <v>23.03</v>
      </c>
      <c r="V9" s="14">
        <v>41</v>
      </c>
      <c r="W9" s="14">
        <v>20</v>
      </c>
      <c r="X9" s="19">
        <f t="shared" ref="X9:X24" si="6">W9+U9</f>
        <v>43.03</v>
      </c>
    </row>
    <row r="10" spans="1:25" x14ac:dyDescent="0.3">
      <c r="A10" s="7">
        <v>34901</v>
      </c>
      <c r="B10" s="10">
        <v>1</v>
      </c>
      <c r="C10" s="20">
        <v>15.6</v>
      </c>
      <c r="D10" s="2">
        <v>10</v>
      </c>
      <c r="E10" s="20">
        <v>44.23</v>
      </c>
      <c r="F10" s="16">
        <f t="shared" si="2"/>
        <v>59.83</v>
      </c>
      <c r="G10" s="8">
        <f t="shared" si="0"/>
        <v>34901</v>
      </c>
      <c r="H10" s="11" t="s">
        <v>33</v>
      </c>
      <c r="I10" s="4">
        <v>3.8</v>
      </c>
      <c r="J10" s="4">
        <v>2</v>
      </c>
      <c r="K10" s="4">
        <v>20.170000000000002</v>
      </c>
      <c r="L10" s="17">
        <f t="shared" si="3"/>
        <v>23.970000000000002</v>
      </c>
      <c r="M10" s="9">
        <f t="shared" si="1"/>
        <v>34901</v>
      </c>
      <c r="N10" s="12" t="s">
        <v>35</v>
      </c>
      <c r="O10" s="23">
        <v>3.67</v>
      </c>
      <c r="P10" s="6">
        <v>3</v>
      </c>
      <c r="Q10" s="6">
        <f>24.7</f>
        <v>24.7</v>
      </c>
      <c r="R10" s="18">
        <f t="shared" si="4"/>
        <v>28.369999999999997</v>
      </c>
      <c r="S10" s="15">
        <f t="shared" si="5"/>
        <v>34901</v>
      </c>
      <c r="T10" s="14">
        <v>4</v>
      </c>
      <c r="U10" s="36">
        <v>17.7</v>
      </c>
      <c r="V10" s="14">
        <v>41</v>
      </c>
      <c r="W10" s="14">
        <v>20</v>
      </c>
      <c r="X10" s="19">
        <f t="shared" si="6"/>
        <v>37.700000000000003</v>
      </c>
    </row>
    <row r="11" spans="1:25" x14ac:dyDescent="0.3">
      <c r="A11" s="7">
        <v>34985</v>
      </c>
      <c r="B11" s="10">
        <v>1</v>
      </c>
      <c r="C11" s="20">
        <v>15.18</v>
      </c>
      <c r="D11" s="2">
        <v>10</v>
      </c>
      <c r="E11" s="20">
        <v>44.23</v>
      </c>
      <c r="F11" s="16">
        <f t="shared" si="2"/>
        <v>59.41</v>
      </c>
      <c r="G11" s="8">
        <f t="shared" si="0"/>
        <v>34985</v>
      </c>
      <c r="H11" s="11" t="s">
        <v>33</v>
      </c>
      <c r="I11" s="4">
        <v>3.78</v>
      </c>
      <c r="J11" s="4">
        <v>2</v>
      </c>
      <c r="K11" s="4">
        <v>20.170000000000002</v>
      </c>
      <c r="L11" s="17">
        <f t="shared" si="3"/>
        <v>23.950000000000003</v>
      </c>
      <c r="M11" s="9">
        <f t="shared" si="1"/>
        <v>34985</v>
      </c>
      <c r="N11" s="12" t="s">
        <v>35</v>
      </c>
      <c r="O11" s="23">
        <v>3.59</v>
      </c>
      <c r="P11" s="6">
        <v>3</v>
      </c>
      <c r="Q11" s="6">
        <f>24.7</f>
        <v>24.7</v>
      </c>
      <c r="R11" s="18">
        <f t="shared" si="4"/>
        <v>28.29</v>
      </c>
      <c r="S11" s="15">
        <f t="shared" si="5"/>
        <v>34985</v>
      </c>
      <c r="T11" s="14">
        <v>4</v>
      </c>
      <c r="U11" s="36">
        <v>17.690000000000001</v>
      </c>
      <c r="V11" s="14">
        <v>41</v>
      </c>
      <c r="W11" s="14">
        <v>20</v>
      </c>
      <c r="X11" s="19">
        <f t="shared" si="6"/>
        <v>37.69</v>
      </c>
    </row>
    <row r="12" spans="1:25" x14ac:dyDescent="0.3">
      <c r="A12" s="7">
        <v>36349</v>
      </c>
      <c r="C12" s="20"/>
      <c r="E12" s="20"/>
      <c r="F12" s="16"/>
      <c r="G12" s="8">
        <f t="shared" si="0"/>
        <v>36349</v>
      </c>
      <c r="H12" s="11">
        <v>2</v>
      </c>
      <c r="I12" s="4">
        <v>22.58</v>
      </c>
      <c r="J12" s="4">
        <v>2</v>
      </c>
      <c r="K12" s="4">
        <v>0</v>
      </c>
      <c r="L12" s="17">
        <f t="shared" si="3"/>
        <v>22.58</v>
      </c>
      <c r="M12" s="9">
        <f t="shared" si="1"/>
        <v>36349</v>
      </c>
      <c r="N12" s="12" t="s">
        <v>35</v>
      </c>
      <c r="O12" s="23">
        <v>1.86</v>
      </c>
      <c r="P12" s="6">
        <v>3</v>
      </c>
      <c r="Q12" s="6">
        <f>24.7</f>
        <v>24.7</v>
      </c>
      <c r="R12" s="18">
        <f t="shared" si="4"/>
        <v>26.56</v>
      </c>
      <c r="S12" s="15">
        <f t="shared" si="5"/>
        <v>36349</v>
      </c>
      <c r="U12" s="36"/>
      <c r="X12" s="19"/>
    </row>
    <row r="13" spans="1:25" x14ac:dyDescent="0.3">
      <c r="A13" s="7">
        <v>36715</v>
      </c>
      <c r="B13" s="10">
        <v>10</v>
      </c>
      <c r="C13" s="20">
        <v>54.28</v>
      </c>
      <c r="D13" s="2">
        <v>10</v>
      </c>
      <c r="E13" s="20">
        <v>0</v>
      </c>
      <c r="F13" s="16">
        <f t="shared" si="2"/>
        <v>54.28</v>
      </c>
      <c r="G13" s="8">
        <f t="shared" ref="G13:G78" si="7">IF(ISNUMBER(A13),A13,"")</f>
        <v>36715</v>
      </c>
      <c r="H13" s="11" t="s">
        <v>33</v>
      </c>
      <c r="I13" s="4">
        <v>0.6</v>
      </c>
      <c r="J13" s="4">
        <v>2</v>
      </c>
      <c r="K13" s="4">
        <v>20.170000000000002</v>
      </c>
      <c r="L13" s="17">
        <f t="shared" si="3"/>
        <v>20.770000000000003</v>
      </c>
      <c r="M13" s="9">
        <f t="shared" ref="M13:M78" si="8">IF(ISNUMBER(G13),G13,"")</f>
        <v>36715</v>
      </c>
      <c r="N13" s="12" t="s">
        <v>35</v>
      </c>
      <c r="O13" s="23">
        <v>1.33</v>
      </c>
      <c r="P13" s="6">
        <v>3</v>
      </c>
      <c r="Q13" s="6">
        <f>24.7</f>
        <v>24.7</v>
      </c>
      <c r="R13" s="18">
        <f t="shared" si="4"/>
        <v>26.03</v>
      </c>
      <c r="S13" s="15">
        <f t="shared" si="5"/>
        <v>36715</v>
      </c>
      <c r="T13" s="14">
        <v>4</v>
      </c>
      <c r="U13" s="36">
        <v>10.51</v>
      </c>
      <c r="V13" s="14">
        <v>41</v>
      </c>
      <c r="W13" s="14">
        <v>20</v>
      </c>
      <c r="X13" s="19">
        <f t="shared" si="6"/>
        <v>30.509999999999998</v>
      </c>
    </row>
    <row r="14" spans="1:25" x14ac:dyDescent="0.3">
      <c r="A14" s="7">
        <v>37088</v>
      </c>
      <c r="B14" s="10">
        <v>1</v>
      </c>
      <c r="C14" s="20">
        <v>8.9</v>
      </c>
      <c r="D14" s="2">
        <v>10</v>
      </c>
      <c r="E14" s="20">
        <v>44.23</v>
      </c>
      <c r="F14" s="16">
        <f t="shared" si="2"/>
        <v>53.129999999999995</v>
      </c>
      <c r="G14" s="8">
        <f t="shared" si="7"/>
        <v>37088</v>
      </c>
      <c r="H14" s="25" t="s">
        <v>33</v>
      </c>
      <c r="I14" s="4">
        <v>0.78</v>
      </c>
      <c r="J14" s="4">
        <v>2</v>
      </c>
      <c r="K14" s="4">
        <v>20.170000000000002</v>
      </c>
      <c r="L14" s="17">
        <f>K14+I14</f>
        <v>20.950000000000003</v>
      </c>
      <c r="M14" s="9">
        <f>IF(ISNUMBER(G14),G14,"")</f>
        <v>37088</v>
      </c>
      <c r="N14" s="27" t="s">
        <v>35</v>
      </c>
      <c r="O14" s="23">
        <v>1.39</v>
      </c>
      <c r="P14" s="6">
        <v>3</v>
      </c>
      <c r="Q14" s="6">
        <v>24.7</v>
      </c>
      <c r="R14" s="18">
        <f t="shared" si="4"/>
        <v>26.09</v>
      </c>
      <c r="S14" s="15">
        <f t="shared" si="5"/>
        <v>37088</v>
      </c>
      <c r="T14" s="14">
        <v>4</v>
      </c>
      <c r="U14" s="36">
        <v>10.220000000000001</v>
      </c>
      <c r="V14" s="14">
        <v>41</v>
      </c>
      <c r="W14" s="14">
        <v>20</v>
      </c>
      <c r="X14" s="19">
        <f>W14+U14</f>
        <v>30.22</v>
      </c>
    </row>
    <row r="15" spans="1:25" x14ac:dyDescent="0.3">
      <c r="A15" s="7">
        <v>37827</v>
      </c>
      <c r="B15" s="10">
        <v>10</v>
      </c>
      <c r="C15" s="20">
        <v>49</v>
      </c>
      <c r="D15" s="2">
        <v>10</v>
      </c>
      <c r="E15" s="20">
        <v>0</v>
      </c>
      <c r="F15" s="16">
        <f t="shared" si="2"/>
        <v>49</v>
      </c>
      <c r="G15" s="8">
        <f t="shared" si="7"/>
        <v>37827</v>
      </c>
      <c r="H15" s="11">
        <v>2</v>
      </c>
      <c r="I15" s="4">
        <v>18.149999999999999</v>
      </c>
      <c r="J15" s="4">
        <v>2</v>
      </c>
      <c r="K15" s="4">
        <v>0</v>
      </c>
      <c r="L15" s="17">
        <f t="shared" si="3"/>
        <v>18.149999999999999</v>
      </c>
      <c r="M15" s="9">
        <f t="shared" si="8"/>
        <v>37827</v>
      </c>
      <c r="N15" s="12" t="s">
        <v>35</v>
      </c>
      <c r="O15" s="23">
        <v>0.1</v>
      </c>
      <c r="P15" s="6">
        <v>3</v>
      </c>
      <c r="Q15" s="6">
        <v>24.7</v>
      </c>
      <c r="R15" s="18">
        <f t="shared" si="4"/>
        <v>24.8</v>
      </c>
      <c r="S15" s="15">
        <f t="shared" si="5"/>
        <v>37827</v>
      </c>
      <c r="T15" s="14">
        <v>4</v>
      </c>
      <c r="U15" s="36">
        <v>5.35</v>
      </c>
      <c r="V15" s="14">
        <v>41</v>
      </c>
      <c r="W15" s="14">
        <v>20</v>
      </c>
      <c r="X15" s="19">
        <f t="shared" si="6"/>
        <v>25.35</v>
      </c>
    </row>
    <row r="16" spans="1:25" x14ac:dyDescent="0.3">
      <c r="A16" s="7">
        <v>38190</v>
      </c>
      <c r="B16" s="10">
        <v>1</v>
      </c>
      <c r="C16" s="20">
        <v>2.76</v>
      </c>
      <c r="D16" s="2">
        <v>10</v>
      </c>
      <c r="E16" s="20">
        <v>44.23</v>
      </c>
      <c r="F16" s="16">
        <f t="shared" si="2"/>
        <v>46.989999999999995</v>
      </c>
      <c r="G16" s="8">
        <f t="shared" si="7"/>
        <v>38190</v>
      </c>
      <c r="H16" s="11">
        <v>2</v>
      </c>
      <c r="I16" s="4">
        <v>17.07</v>
      </c>
      <c r="J16" s="4">
        <v>2</v>
      </c>
      <c r="K16" s="4">
        <v>0</v>
      </c>
      <c r="L16" s="17">
        <f t="shared" si="3"/>
        <v>17.07</v>
      </c>
      <c r="M16" s="9">
        <f t="shared" si="8"/>
        <v>38190</v>
      </c>
      <c r="O16" s="23"/>
      <c r="R16" s="18"/>
      <c r="S16" s="15">
        <f t="shared" si="5"/>
        <v>38190</v>
      </c>
      <c r="T16" s="14">
        <v>4</v>
      </c>
      <c r="U16" s="36">
        <v>4.5999999999999996</v>
      </c>
      <c r="V16" s="14">
        <v>41</v>
      </c>
      <c r="W16" s="14">
        <v>20</v>
      </c>
      <c r="X16" s="19">
        <f t="shared" si="6"/>
        <v>24.6</v>
      </c>
    </row>
    <row r="17" spans="1:25" x14ac:dyDescent="0.3">
      <c r="A17" s="7">
        <v>38554</v>
      </c>
      <c r="B17" s="10">
        <v>1</v>
      </c>
      <c r="C17" s="20">
        <v>2.61</v>
      </c>
      <c r="D17" s="2">
        <v>10</v>
      </c>
      <c r="E17" s="20">
        <v>44.23</v>
      </c>
      <c r="F17" s="16">
        <f t="shared" si="2"/>
        <v>46.839999999999996</v>
      </c>
      <c r="G17" s="8">
        <f t="shared" si="7"/>
        <v>38554</v>
      </c>
      <c r="H17" s="11">
        <v>2</v>
      </c>
      <c r="I17" s="4">
        <v>15.94</v>
      </c>
      <c r="J17" s="4">
        <v>2</v>
      </c>
      <c r="K17" s="4">
        <v>0</v>
      </c>
      <c r="L17" s="17">
        <f t="shared" si="3"/>
        <v>15.94</v>
      </c>
      <c r="M17" s="9">
        <f t="shared" si="8"/>
        <v>38554</v>
      </c>
      <c r="N17" s="12">
        <v>30</v>
      </c>
      <c r="O17" s="23">
        <v>81.010000000000005</v>
      </c>
      <c r="P17" s="6">
        <v>3</v>
      </c>
      <c r="Q17" s="6">
        <v>-57.32</v>
      </c>
      <c r="R17" s="18">
        <f t="shared" si="4"/>
        <v>23.690000000000005</v>
      </c>
      <c r="S17" s="15">
        <f t="shared" si="5"/>
        <v>38554</v>
      </c>
      <c r="T17" s="14">
        <v>4</v>
      </c>
      <c r="U17" s="36">
        <v>3.16</v>
      </c>
      <c r="V17" s="14">
        <v>41</v>
      </c>
      <c r="W17" s="14">
        <v>20</v>
      </c>
      <c r="X17" s="19">
        <f t="shared" si="6"/>
        <v>23.16</v>
      </c>
    </row>
    <row r="18" spans="1:25" x14ac:dyDescent="0.3">
      <c r="A18" s="7">
        <v>38921</v>
      </c>
      <c r="B18" s="10">
        <v>1</v>
      </c>
      <c r="C18" s="20">
        <v>1.91</v>
      </c>
      <c r="D18" s="2">
        <v>10</v>
      </c>
      <c r="E18" s="20">
        <v>44.23</v>
      </c>
      <c r="F18" s="16">
        <f t="shared" si="2"/>
        <v>46.139999999999993</v>
      </c>
      <c r="G18" s="8">
        <f t="shared" si="7"/>
        <v>38921</v>
      </c>
      <c r="H18" s="11">
        <v>2</v>
      </c>
      <c r="I18" s="4">
        <v>15.45</v>
      </c>
      <c r="J18" s="4">
        <v>2</v>
      </c>
      <c r="K18" s="4">
        <v>0</v>
      </c>
      <c r="L18" s="17">
        <f t="shared" si="3"/>
        <v>15.45</v>
      </c>
      <c r="M18" s="9">
        <f t="shared" si="8"/>
        <v>38921</v>
      </c>
      <c r="O18" s="23"/>
      <c r="R18" s="18"/>
      <c r="S18" s="15">
        <f t="shared" si="5"/>
        <v>38921</v>
      </c>
      <c r="T18" s="14">
        <v>4</v>
      </c>
      <c r="U18" s="36">
        <v>1.64</v>
      </c>
      <c r="V18" s="14">
        <v>41</v>
      </c>
      <c r="W18" s="14">
        <v>20</v>
      </c>
      <c r="X18" s="19">
        <f t="shared" si="6"/>
        <v>21.64</v>
      </c>
    </row>
    <row r="19" spans="1:25" x14ac:dyDescent="0.3">
      <c r="A19" s="7">
        <v>38989</v>
      </c>
      <c r="B19" s="10">
        <v>1</v>
      </c>
      <c r="C19" s="20">
        <v>1.96</v>
      </c>
      <c r="D19" s="2">
        <v>10</v>
      </c>
      <c r="E19" s="20">
        <v>44.23</v>
      </c>
      <c r="F19" s="16">
        <f t="shared" si="2"/>
        <v>46.19</v>
      </c>
      <c r="G19" s="8">
        <f t="shared" si="7"/>
        <v>38989</v>
      </c>
      <c r="H19" s="11">
        <v>2</v>
      </c>
      <c r="I19" s="4">
        <v>15.34</v>
      </c>
      <c r="J19" s="4">
        <v>2</v>
      </c>
      <c r="K19" s="4">
        <v>0</v>
      </c>
      <c r="L19" s="17">
        <f t="shared" si="3"/>
        <v>15.34</v>
      </c>
      <c r="M19" s="9">
        <f t="shared" si="8"/>
        <v>38989</v>
      </c>
      <c r="N19" s="12">
        <v>3</v>
      </c>
      <c r="O19" s="23">
        <v>23.63</v>
      </c>
      <c r="P19" s="6">
        <v>3</v>
      </c>
      <c r="Q19" s="6">
        <v>0</v>
      </c>
      <c r="R19" s="18">
        <f t="shared" si="4"/>
        <v>23.63</v>
      </c>
      <c r="S19" s="15">
        <f t="shared" si="5"/>
        <v>38989</v>
      </c>
      <c r="T19" s="14">
        <v>4</v>
      </c>
      <c r="U19" s="36">
        <v>1.68</v>
      </c>
      <c r="V19" s="14">
        <v>41</v>
      </c>
      <c r="W19" s="14">
        <v>20</v>
      </c>
      <c r="X19" s="19">
        <f t="shared" si="6"/>
        <v>21.68</v>
      </c>
    </row>
    <row r="20" spans="1:25" x14ac:dyDescent="0.3">
      <c r="A20" s="7">
        <v>40012</v>
      </c>
      <c r="B20" s="10">
        <v>11</v>
      </c>
      <c r="C20" s="20">
        <v>13.42</v>
      </c>
      <c r="D20" s="2">
        <v>10</v>
      </c>
      <c r="E20" s="20">
        <v>30</v>
      </c>
      <c r="F20" s="1">
        <f t="shared" si="2"/>
        <v>43.42</v>
      </c>
      <c r="G20" s="8">
        <f t="shared" si="7"/>
        <v>40012</v>
      </c>
      <c r="H20" s="11">
        <v>2</v>
      </c>
      <c r="I20" s="4">
        <v>13.31</v>
      </c>
      <c r="J20" s="4">
        <v>2</v>
      </c>
      <c r="K20" s="4">
        <v>0</v>
      </c>
      <c r="L20" s="17">
        <f t="shared" si="3"/>
        <v>13.31</v>
      </c>
      <c r="M20" s="9">
        <f t="shared" si="8"/>
        <v>40012</v>
      </c>
      <c r="N20" s="12">
        <v>3</v>
      </c>
      <c r="O20" s="23">
        <v>22.24</v>
      </c>
      <c r="P20" s="6">
        <v>3</v>
      </c>
      <c r="Q20" s="6">
        <v>0</v>
      </c>
      <c r="R20" s="18">
        <f t="shared" si="4"/>
        <v>22.24</v>
      </c>
      <c r="S20" s="15">
        <f t="shared" si="5"/>
        <v>40012</v>
      </c>
      <c r="T20" s="14">
        <v>41</v>
      </c>
      <c r="U20" s="36">
        <v>20.5</v>
      </c>
      <c r="V20" s="14">
        <v>41</v>
      </c>
      <c r="W20" s="14">
        <v>0</v>
      </c>
      <c r="X20" s="19">
        <f t="shared" si="6"/>
        <v>20.5</v>
      </c>
    </row>
    <row r="21" spans="1:25" x14ac:dyDescent="0.3">
      <c r="A21" s="7">
        <v>40086</v>
      </c>
      <c r="B21" s="10">
        <v>11</v>
      </c>
      <c r="C21" s="20">
        <v>13.5</v>
      </c>
      <c r="D21" s="2">
        <v>10</v>
      </c>
      <c r="E21" s="20">
        <v>30</v>
      </c>
      <c r="F21" s="16">
        <f t="shared" si="2"/>
        <v>43.5</v>
      </c>
      <c r="G21" s="8">
        <f t="shared" si="7"/>
        <v>40086</v>
      </c>
      <c r="H21" s="30" t="s">
        <v>108</v>
      </c>
      <c r="I21" s="30" t="s">
        <v>108</v>
      </c>
      <c r="J21" s="30" t="s">
        <v>108</v>
      </c>
      <c r="K21" s="30" t="s">
        <v>108</v>
      </c>
      <c r="L21" s="30" t="s">
        <v>108</v>
      </c>
      <c r="M21" s="9">
        <f t="shared" si="8"/>
        <v>40086</v>
      </c>
      <c r="N21" s="12">
        <v>3</v>
      </c>
      <c r="O21" s="23">
        <v>22.1</v>
      </c>
      <c r="P21" s="6">
        <v>3</v>
      </c>
      <c r="Q21" s="6">
        <v>0</v>
      </c>
      <c r="R21" s="34">
        <v>22.1</v>
      </c>
      <c r="S21" s="15">
        <f t="shared" si="5"/>
        <v>40086</v>
      </c>
      <c r="T21" s="14">
        <v>41</v>
      </c>
      <c r="U21" s="36">
        <v>19.7</v>
      </c>
      <c r="V21" s="14">
        <v>41</v>
      </c>
      <c r="W21" s="14">
        <v>0</v>
      </c>
      <c r="X21" s="38">
        <f t="shared" si="6"/>
        <v>19.7</v>
      </c>
      <c r="Y21" s="35" t="s">
        <v>109</v>
      </c>
    </row>
    <row r="22" spans="1:25" x14ac:dyDescent="0.3">
      <c r="A22" s="7">
        <v>40382</v>
      </c>
      <c r="E22" s="20"/>
      <c r="G22" s="8">
        <f t="shared" si="7"/>
        <v>40382</v>
      </c>
      <c r="H22" s="11">
        <v>2</v>
      </c>
      <c r="I22" s="4">
        <v>12.88</v>
      </c>
      <c r="J22" s="4">
        <v>2</v>
      </c>
      <c r="K22" s="4">
        <v>0</v>
      </c>
      <c r="L22" s="32">
        <v>12.88</v>
      </c>
      <c r="M22" s="9">
        <f t="shared" si="8"/>
        <v>40382</v>
      </c>
      <c r="N22" s="12">
        <v>3</v>
      </c>
      <c r="O22" s="23">
        <v>21.6</v>
      </c>
      <c r="P22" s="6">
        <v>3</v>
      </c>
      <c r="Q22" s="6">
        <v>0</v>
      </c>
      <c r="R22" s="34">
        <v>21.6</v>
      </c>
      <c r="S22" s="15">
        <f t="shared" si="5"/>
        <v>40382</v>
      </c>
      <c r="T22" s="14">
        <v>41</v>
      </c>
      <c r="U22" s="14">
        <v>19.420000000000002</v>
      </c>
      <c r="V22" s="14">
        <v>41</v>
      </c>
      <c r="W22" s="14">
        <v>0</v>
      </c>
      <c r="X22" s="37">
        <f t="shared" si="6"/>
        <v>19.420000000000002</v>
      </c>
    </row>
    <row r="23" spans="1:25" x14ac:dyDescent="0.3">
      <c r="A23" s="7">
        <v>40801</v>
      </c>
      <c r="B23" s="10">
        <v>11</v>
      </c>
      <c r="C23" s="2">
        <v>13.23</v>
      </c>
      <c r="D23" s="2">
        <v>10</v>
      </c>
      <c r="E23" s="20">
        <v>30</v>
      </c>
      <c r="F23" s="16">
        <f t="shared" si="2"/>
        <v>43.230000000000004</v>
      </c>
      <c r="G23" s="8">
        <f t="shared" si="7"/>
        <v>40801</v>
      </c>
      <c r="H23" s="11">
        <v>2</v>
      </c>
      <c r="I23" s="4">
        <v>12.79</v>
      </c>
      <c r="J23" s="4">
        <v>2</v>
      </c>
      <c r="K23" s="4">
        <v>0</v>
      </c>
      <c r="L23" s="32">
        <v>12.79</v>
      </c>
      <c r="M23" s="9">
        <f t="shared" si="8"/>
        <v>40801</v>
      </c>
      <c r="N23" s="12">
        <v>3</v>
      </c>
      <c r="O23" s="23">
        <v>21.6</v>
      </c>
      <c r="P23" s="6">
        <v>3</v>
      </c>
      <c r="Q23" s="6">
        <v>0</v>
      </c>
      <c r="R23" s="18">
        <f>Q23+O23</f>
        <v>21.6</v>
      </c>
      <c r="S23" s="15">
        <f t="shared" si="5"/>
        <v>40801</v>
      </c>
      <c r="T23" s="14">
        <v>41</v>
      </c>
      <c r="U23" s="14">
        <v>19.29</v>
      </c>
      <c r="V23" s="14">
        <v>41</v>
      </c>
      <c r="W23" s="14">
        <v>0</v>
      </c>
      <c r="X23" s="19">
        <f t="shared" si="6"/>
        <v>19.29</v>
      </c>
    </row>
    <row r="24" spans="1:25" x14ac:dyDescent="0.3">
      <c r="A24" s="7">
        <v>41196</v>
      </c>
      <c r="B24" s="10">
        <v>11</v>
      </c>
      <c r="C24" s="2">
        <v>12.73</v>
      </c>
      <c r="D24" s="2">
        <v>10</v>
      </c>
      <c r="E24" s="20">
        <v>30</v>
      </c>
      <c r="F24" s="1">
        <f t="shared" si="2"/>
        <v>42.730000000000004</v>
      </c>
      <c r="G24" s="8">
        <f t="shared" si="7"/>
        <v>41196</v>
      </c>
      <c r="H24" s="11">
        <v>2</v>
      </c>
      <c r="I24" s="4">
        <v>12.79</v>
      </c>
      <c r="J24" s="4">
        <v>2</v>
      </c>
      <c r="K24" s="4">
        <v>0</v>
      </c>
      <c r="L24" s="17">
        <f t="shared" ref="L24:L29" si="9">K24+I24</f>
        <v>12.79</v>
      </c>
      <c r="M24" s="9">
        <f t="shared" si="8"/>
        <v>41196</v>
      </c>
      <c r="S24" s="15">
        <f t="shared" si="5"/>
        <v>41196</v>
      </c>
      <c r="T24" s="14">
        <v>41</v>
      </c>
      <c r="U24" s="14">
        <v>18.71</v>
      </c>
      <c r="V24" s="14">
        <v>41</v>
      </c>
      <c r="W24" s="14">
        <v>0</v>
      </c>
      <c r="X24" s="37">
        <f t="shared" si="6"/>
        <v>18.71</v>
      </c>
      <c r="Y24" s="54" t="s">
        <v>129</v>
      </c>
    </row>
    <row r="25" spans="1:25" x14ac:dyDescent="0.3">
      <c r="A25" s="7">
        <v>41465</v>
      </c>
      <c r="B25" s="10">
        <v>11</v>
      </c>
      <c r="C25" s="20">
        <v>12.8</v>
      </c>
      <c r="D25" s="2">
        <v>10</v>
      </c>
      <c r="E25" s="20">
        <v>30</v>
      </c>
      <c r="F25" s="16">
        <f t="shared" ref="F25:F30" si="10">E25+C25</f>
        <v>42.8</v>
      </c>
      <c r="G25" s="8">
        <f t="shared" si="7"/>
        <v>41465</v>
      </c>
      <c r="H25" s="11">
        <v>2</v>
      </c>
      <c r="I25" s="4">
        <v>11.94</v>
      </c>
      <c r="J25" s="4">
        <v>2</v>
      </c>
      <c r="K25" s="4">
        <v>0</v>
      </c>
      <c r="L25" s="17">
        <f t="shared" si="9"/>
        <v>11.94</v>
      </c>
      <c r="M25" s="9">
        <f t="shared" si="8"/>
        <v>41465</v>
      </c>
      <c r="N25" s="12">
        <v>3</v>
      </c>
      <c r="O25" s="6">
        <v>21.35</v>
      </c>
      <c r="P25" s="6">
        <v>3</v>
      </c>
      <c r="Q25" s="6">
        <v>0</v>
      </c>
      <c r="R25" s="18">
        <f t="shared" ref="R25:R30" si="11">Q25+O25</f>
        <v>21.35</v>
      </c>
      <c r="S25" s="15">
        <f t="shared" si="5"/>
        <v>41465</v>
      </c>
      <c r="T25" s="14">
        <v>41</v>
      </c>
      <c r="U25" s="14">
        <v>17.84</v>
      </c>
      <c r="V25" s="14">
        <v>41</v>
      </c>
      <c r="W25" s="14">
        <v>0</v>
      </c>
      <c r="X25" s="37">
        <f t="shared" ref="X25:X30" si="12">W25+U25</f>
        <v>17.84</v>
      </c>
    </row>
    <row r="26" spans="1:25" x14ac:dyDescent="0.3">
      <c r="A26" s="67">
        <v>41832</v>
      </c>
      <c r="B26" s="28">
        <v>11</v>
      </c>
      <c r="C26" s="68">
        <v>12.48</v>
      </c>
      <c r="D26" s="68">
        <v>10</v>
      </c>
      <c r="E26" s="70">
        <v>30</v>
      </c>
      <c r="F26" s="69">
        <f t="shared" si="10"/>
        <v>42.480000000000004</v>
      </c>
      <c r="G26" s="63">
        <f t="shared" si="7"/>
        <v>41832</v>
      </c>
      <c r="H26" s="30">
        <v>2</v>
      </c>
      <c r="I26" s="64">
        <v>10.39</v>
      </c>
      <c r="J26" s="64">
        <v>2</v>
      </c>
      <c r="K26" s="64">
        <v>0</v>
      </c>
      <c r="L26" s="50">
        <f t="shared" si="9"/>
        <v>10.39</v>
      </c>
      <c r="M26" s="65">
        <f t="shared" si="8"/>
        <v>41832</v>
      </c>
      <c r="N26" s="31">
        <v>3</v>
      </c>
      <c r="O26" s="161">
        <v>20.7</v>
      </c>
      <c r="P26" s="66">
        <v>3</v>
      </c>
      <c r="Q26" s="66">
        <v>0</v>
      </c>
      <c r="R26" s="34">
        <f t="shared" si="11"/>
        <v>20.7</v>
      </c>
      <c r="S26" s="71">
        <f t="shared" si="5"/>
        <v>41832</v>
      </c>
      <c r="T26" s="72">
        <v>41</v>
      </c>
      <c r="U26" s="72">
        <v>17.670000000000002</v>
      </c>
      <c r="V26" s="72">
        <v>41</v>
      </c>
      <c r="W26" s="72">
        <v>0</v>
      </c>
      <c r="X26" s="37">
        <f t="shared" si="12"/>
        <v>17.670000000000002</v>
      </c>
      <c r="Y26" s="62"/>
    </row>
    <row r="27" spans="1:25" x14ac:dyDescent="0.3">
      <c r="A27" s="7">
        <v>42515</v>
      </c>
      <c r="B27" s="10">
        <v>11</v>
      </c>
      <c r="C27" s="2">
        <v>12.15</v>
      </c>
      <c r="D27" s="2">
        <v>10</v>
      </c>
      <c r="E27" s="70">
        <v>30</v>
      </c>
      <c r="F27" s="69">
        <f t="shared" si="10"/>
        <v>42.15</v>
      </c>
      <c r="G27" s="8">
        <f t="shared" si="7"/>
        <v>42515</v>
      </c>
      <c r="H27" s="11">
        <v>2</v>
      </c>
      <c r="I27" s="4">
        <v>8.7100000000000009</v>
      </c>
      <c r="J27" s="4">
        <v>2</v>
      </c>
      <c r="K27" s="4">
        <v>0</v>
      </c>
      <c r="L27" s="50">
        <f t="shared" si="9"/>
        <v>8.7100000000000009</v>
      </c>
      <c r="M27" s="9">
        <f t="shared" si="8"/>
        <v>42515</v>
      </c>
      <c r="N27" s="12">
        <v>3</v>
      </c>
      <c r="O27" s="66">
        <v>20.72</v>
      </c>
      <c r="P27" s="6">
        <v>3</v>
      </c>
      <c r="Q27" s="6">
        <v>0</v>
      </c>
      <c r="R27" s="163">
        <f t="shared" si="11"/>
        <v>20.72</v>
      </c>
      <c r="S27" s="15">
        <f t="shared" si="5"/>
        <v>42515</v>
      </c>
      <c r="T27" s="14">
        <v>41</v>
      </c>
      <c r="U27" s="72">
        <v>16.13</v>
      </c>
      <c r="V27" s="72">
        <v>41</v>
      </c>
      <c r="W27" s="72">
        <v>0</v>
      </c>
      <c r="X27" s="37">
        <f t="shared" si="12"/>
        <v>16.13</v>
      </c>
      <c r="Y27" s="29" t="s">
        <v>148</v>
      </c>
    </row>
    <row r="28" spans="1:25" x14ac:dyDescent="0.3">
      <c r="A28" s="7">
        <v>43690</v>
      </c>
      <c r="B28" s="10">
        <v>11</v>
      </c>
      <c r="C28" s="2">
        <v>7.54</v>
      </c>
      <c r="D28" s="2">
        <v>10</v>
      </c>
      <c r="E28" s="20">
        <v>30</v>
      </c>
      <c r="F28" s="69">
        <f t="shared" si="10"/>
        <v>37.54</v>
      </c>
      <c r="G28" s="8">
        <f t="shared" si="7"/>
        <v>43690</v>
      </c>
      <c r="H28" s="11">
        <v>2</v>
      </c>
      <c r="I28" s="22">
        <v>3.5</v>
      </c>
      <c r="J28" s="4">
        <v>2</v>
      </c>
      <c r="K28" s="4">
        <v>0</v>
      </c>
      <c r="L28" s="50">
        <f t="shared" si="9"/>
        <v>3.5</v>
      </c>
      <c r="M28" s="9">
        <f t="shared" si="8"/>
        <v>43690</v>
      </c>
      <c r="N28" s="12">
        <v>3</v>
      </c>
      <c r="O28" s="6">
        <v>17.09</v>
      </c>
      <c r="P28" s="6">
        <v>3</v>
      </c>
      <c r="Q28" s="6">
        <v>0</v>
      </c>
      <c r="R28" s="34">
        <f t="shared" si="11"/>
        <v>17.09</v>
      </c>
      <c r="S28" s="15">
        <f t="shared" si="5"/>
        <v>43690</v>
      </c>
      <c r="T28" s="14">
        <v>41</v>
      </c>
      <c r="U28" s="36">
        <v>11.9</v>
      </c>
      <c r="V28" s="14">
        <v>41</v>
      </c>
      <c r="W28" s="14">
        <v>0</v>
      </c>
      <c r="X28" s="38">
        <f t="shared" si="12"/>
        <v>11.9</v>
      </c>
    </row>
    <row r="29" spans="1:25" x14ac:dyDescent="0.3">
      <c r="A29" s="7">
        <v>44090</v>
      </c>
      <c r="B29" s="10">
        <v>11</v>
      </c>
      <c r="C29" s="2">
        <v>5.79</v>
      </c>
      <c r="D29" s="2">
        <v>10</v>
      </c>
      <c r="E29" s="20">
        <v>30</v>
      </c>
      <c r="F29" s="69">
        <f t="shared" si="10"/>
        <v>35.79</v>
      </c>
      <c r="G29" s="8">
        <f t="shared" si="7"/>
        <v>44090</v>
      </c>
      <c r="H29" s="11">
        <v>2</v>
      </c>
      <c r="I29" s="4">
        <v>3.16</v>
      </c>
      <c r="J29" s="4">
        <v>2</v>
      </c>
      <c r="K29" s="4">
        <v>0</v>
      </c>
      <c r="L29" s="32">
        <f t="shared" si="9"/>
        <v>3.16</v>
      </c>
      <c r="M29" s="9">
        <f t="shared" si="8"/>
        <v>44090</v>
      </c>
      <c r="N29" s="12">
        <v>3</v>
      </c>
      <c r="O29" s="6">
        <v>16.98</v>
      </c>
      <c r="P29" s="6">
        <v>3</v>
      </c>
      <c r="Q29" s="6">
        <v>0</v>
      </c>
      <c r="R29" s="33">
        <f t="shared" si="11"/>
        <v>16.98</v>
      </c>
      <c r="S29" s="15">
        <f t="shared" si="5"/>
        <v>44090</v>
      </c>
      <c r="T29" s="14">
        <v>41</v>
      </c>
      <c r="U29" s="14">
        <v>10.75</v>
      </c>
      <c r="V29" s="14">
        <v>41</v>
      </c>
      <c r="W29" s="14">
        <v>0</v>
      </c>
      <c r="X29" s="37">
        <f t="shared" si="12"/>
        <v>10.75</v>
      </c>
      <c r="Y29" t="s">
        <v>237</v>
      </c>
    </row>
    <row r="30" spans="1:25" x14ac:dyDescent="0.3">
      <c r="A30" s="7">
        <v>44775</v>
      </c>
      <c r="B30" s="10">
        <v>11</v>
      </c>
      <c r="C30" s="2">
        <v>4.58</v>
      </c>
      <c r="D30" s="2">
        <v>10</v>
      </c>
      <c r="E30" s="20">
        <v>30</v>
      </c>
      <c r="F30" s="1">
        <f t="shared" si="10"/>
        <v>34.58</v>
      </c>
      <c r="G30" s="8">
        <f t="shared" si="7"/>
        <v>44775</v>
      </c>
      <c r="H30" s="30" t="s">
        <v>108</v>
      </c>
      <c r="M30" s="9">
        <f t="shared" si="8"/>
        <v>44775</v>
      </c>
      <c r="N30" s="12">
        <v>3</v>
      </c>
      <c r="O30" s="6">
        <v>16.54</v>
      </c>
      <c r="P30" s="6">
        <v>3</v>
      </c>
      <c r="Q30" s="6">
        <v>0</v>
      </c>
      <c r="R30" s="33">
        <f t="shared" si="11"/>
        <v>16.54</v>
      </c>
      <c r="S30" s="15">
        <f t="shared" si="5"/>
        <v>44775</v>
      </c>
      <c r="T30" s="14">
        <v>41</v>
      </c>
      <c r="U30" s="14">
        <v>8.83</v>
      </c>
      <c r="V30" s="14">
        <v>41</v>
      </c>
      <c r="W30" s="14">
        <v>0</v>
      </c>
      <c r="X30" s="37">
        <f t="shared" si="12"/>
        <v>8.83</v>
      </c>
      <c r="Y30" s="29" t="s">
        <v>244</v>
      </c>
    </row>
    <row r="31" spans="1:25" x14ac:dyDescent="0.3">
      <c r="G31" s="8" t="str">
        <f t="shared" si="7"/>
        <v/>
      </c>
      <c r="M31" s="9" t="str">
        <f t="shared" si="8"/>
        <v/>
      </c>
      <c r="S31" s="15" t="str">
        <f t="shared" si="5"/>
        <v/>
      </c>
    </row>
    <row r="32" spans="1:25" x14ac:dyDescent="0.3">
      <c r="G32" s="8" t="str">
        <f t="shared" si="7"/>
        <v/>
      </c>
      <c r="M32" s="9" t="str">
        <f t="shared" si="8"/>
        <v/>
      </c>
      <c r="S32" s="15" t="str">
        <f t="shared" si="5"/>
        <v/>
      </c>
    </row>
    <row r="33" spans="7:19" x14ac:dyDescent="0.3">
      <c r="G33" s="8" t="str">
        <f t="shared" si="7"/>
        <v/>
      </c>
      <c r="M33" s="9" t="str">
        <f t="shared" si="8"/>
        <v/>
      </c>
      <c r="S33" s="15" t="str">
        <f t="shared" si="5"/>
        <v/>
      </c>
    </row>
    <row r="34" spans="7:19" x14ac:dyDescent="0.3">
      <c r="G34" s="8" t="str">
        <f t="shared" si="7"/>
        <v/>
      </c>
      <c r="M34" s="9" t="str">
        <f t="shared" si="8"/>
        <v/>
      </c>
      <c r="S34" s="15" t="str">
        <f t="shared" si="5"/>
        <v/>
      </c>
    </row>
    <row r="35" spans="7:19" x14ac:dyDescent="0.3">
      <c r="G35" s="8" t="str">
        <f t="shared" si="7"/>
        <v/>
      </c>
      <c r="M35" s="9" t="str">
        <f t="shared" si="8"/>
        <v/>
      </c>
      <c r="S35" s="15" t="str">
        <f t="shared" si="5"/>
        <v/>
      </c>
    </row>
    <row r="36" spans="7:19" x14ac:dyDescent="0.3">
      <c r="G36" s="8" t="str">
        <f t="shared" si="7"/>
        <v/>
      </c>
      <c r="M36" s="9" t="str">
        <f t="shared" si="8"/>
        <v/>
      </c>
      <c r="S36" s="15" t="str">
        <f t="shared" si="5"/>
        <v/>
      </c>
    </row>
    <row r="37" spans="7:19" x14ac:dyDescent="0.3">
      <c r="G37" s="8" t="str">
        <f t="shared" si="7"/>
        <v/>
      </c>
      <c r="M37" s="9" t="str">
        <f t="shared" si="8"/>
        <v/>
      </c>
      <c r="S37" s="15" t="str">
        <f t="shared" si="5"/>
        <v/>
      </c>
    </row>
    <row r="38" spans="7:19" x14ac:dyDescent="0.3">
      <c r="G38" s="8" t="str">
        <f t="shared" si="7"/>
        <v/>
      </c>
      <c r="M38" s="9" t="str">
        <f t="shared" si="8"/>
        <v/>
      </c>
      <c r="S38" s="15" t="str">
        <f t="shared" si="5"/>
        <v/>
      </c>
    </row>
    <row r="39" spans="7:19" x14ac:dyDescent="0.3">
      <c r="G39" s="8" t="str">
        <f t="shared" si="7"/>
        <v/>
      </c>
      <c r="M39" s="9" t="str">
        <f t="shared" si="8"/>
        <v/>
      </c>
      <c r="S39" s="15" t="str">
        <f t="shared" si="5"/>
        <v/>
      </c>
    </row>
    <row r="40" spans="7:19" x14ac:dyDescent="0.3">
      <c r="G40" s="8" t="str">
        <f t="shared" si="7"/>
        <v/>
      </c>
      <c r="M40" s="9" t="str">
        <f t="shared" si="8"/>
        <v/>
      </c>
      <c r="S40" s="15" t="str">
        <f t="shared" si="5"/>
        <v/>
      </c>
    </row>
    <row r="41" spans="7:19" x14ac:dyDescent="0.3">
      <c r="G41" s="8" t="str">
        <f t="shared" si="7"/>
        <v/>
      </c>
      <c r="M41" s="9" t="str">
        <f t="shared" si="8"/>
        <v/>
      </c>
      <c r="S41" s="15" t="str">
        <f t="shared" si="5"/>
        <v/>
      </c>
    </row>
    <row r="42" spans="7:19" x14ac:dyDescent="0.3">
      <c r="G42" s="8" t="str">
        <f t="shared" si="7"/>
        <v/>
      </c>
      <c r="M42" s="9" t="str">
        <f t="shared" si="8"/>
        <v/>
      </c>
      <c r="S42" s="15" t="str">
        <f t="shared" si="5"/>
        <v/>
      </c>
    </row>
    <row r="43" spans="7:19" x14ac:dyDescent="0.3">
      <c r="G43" s="8" t="str">
        <f t="shared" si="7"/>
        <v/>
      </c>
      <c r="M43" s="9" t="str">
        <f t="shared" si="8"/>
        <v/>
      </c>
      <c r="S43" s="15" t="str">
        <f t="shared" si="5"/>
        <v/>
      </c>
    </row>
    <row r="44" spans="7:19" x14ac:dyDescent="0.3">
      <c r="G44" s="8" t="str">
        <f t="shared" si="7"/>
        <v/>
      </c>
      <c r="M44" s="9" t="str">
        <f t="shared" si="8"/>
        <v/>
      </c>
      <c r="S44" s="15" t="str">
        <f t="shared" si="5"/>
        <v/>
      </c>
    </row>
    <row r="45" spans="7:19" x14ac:dyDescent="0.3">
      <c r="G45" s="8" t="str">
        <f t="shared" si="7"/>
        <v/>
      </c>
      <c r="M45" s="9" t="str">
        <f t="shared" si="8"/>
        <v/>
      </c>
      <c r="S45" s="15" t="str">
        <f t="shared" si="5"/>
        <v/>
      </c>
    </row>
    <row r="46" spans="7:19" x14ac:dyDescent="0.3">
      <c r="G46" s="8" t="str">
        <f t="shared" si="7"/>
        <v/>
      </c>
      <c r="M46" s="9" t="str">
        <f t="shared" si="8"/>
        <v/>
      </c>
      <c r="S46" s="15" t="str">
        <f t="shared" si="5"/>
        <v/>
      </c>
    </row>
    <row r="47" spans="7:19" x14ac:dyDescent="0.3">
      <c r="G47" s="8" t="str">
        <f t="shared" si="7"/>
        <v/>
      </c>
      <c r="M47" s="9" t="str">
        <f t="shared" si="8"/>
        <v/>
      </c>
      <c r="S47" s="15" t="str">
        <f t="shared" si="5"/>
        <v/>
      </c>
    </row>
    <row r="48" spans="7:19" x14ac:dyDescent="0.3">
      <c r="G48" s="8" t="str">
        <f t="shared" si="7"/>
        <v/>
      </c>
      <c r="M48" s="9" t="str">
        <f t="shared" si="8"/>
        <v/>
      </c>
      <c r="S48" s="15" t="str">
        <f t="shared" si="5"/>
        <v/>
      </c>
    </row>
    <row r="49" spans="7:19" x14ac:dyDescent="0.3">
      <c r="G49" s="8" t="str">
        <f t="shared" si="7"/>
        <v/>
      </c>
      <c r="M49" s="9" t="str">
        <f t="shared" si="8"/>
        <v/>
      </c>
      <c r="S49" s="15" t="str">
        <f t="shared" si="5"/>
        <v/>
      </c>
    </row>
    <row r="50" spans="7:19" x14ac:dyDescent="0.3">
      <c r="G50" s="8" t="str">
        <f t="shared" si="7"/>
        <v/>
      </c>
      <c r="M50" s="9" t="str">
        <f t="shared" si="8"/>
        <v/>
      </c>
      <c r="S50" s="15" t="str">
        <f t="shared" si="5"/>
        <v/>
      </c>
    </row>
    <row r="51" spans="7:19" x14ac:dyDescent="0.3">
      <c r="G51" s="8" t="str">
        <f t="shared" si="7"/>
        <v/>
      </c>
      <c r="M51" s="9" t="str">
        <f t="shared" si="8"/>
        <v/>
      </c>
      <c r="S51" s="15" t="str">
        <f t="shared" si="5"/>
        <v/>
      </c>
    </row>
    <row r="52" spans="7:19" x14ac:dyDescent="0.3">
      <c r="G52" s="8" t="str">
        <f t="shared" si="7"/>
        <v/>
      </c>
      <c r="M52" s="9" t="str">
        <f t="shared" si="8"/>
        <v/>
      </c>
      <c r="S52" s="15" t="str">
        <f t="shared" si="5"/>
        <v/>
      </c>
    </row>
    <row r="53" spans="7:19" x14ac:dyDescent="0.3">
      <c r="G53" s="8" t="str">
        <f t="shared" si="7"/>
        <v/>
      </c>
      <c r="M53" s="9" t="str">
        <f t="shared" si="8"/>
        <v/>
      </c>
      <c r="S53" s="15" t="str">
        <f t="shared" si="5"/>
        <v/>
      </c>
    </row>
    <row r="54" spans="7:19" x14ac:dyDescent="0.3">
      <c r="G54" s="8" t="str">
        <f t="shared" si="7"/>
        <v/>
      </c>
      <c r="M54" s="9" t="str">
        <f t="shared" si="8"/>
        <v/>
      </c>
      <c r="S54" s="15" t="str">
        <f t="shared" si="5"/>
        <v/>
      </c>
    </row>
    <row r="55" spans="7:19" x14ac:dyDescent="0.3">
      <c r="G55" s="8" t="str">
        <f t="shared" si="7"/>
        <v/>
      </c>
      <c r="M55" s="9" t="str">
        <f t="shared" si="8"/>
        <v/>
      </c>
      <c r="S55" s="15" t="str">
        <f t="shared" si="5"/>
        <v/>
      </c>
    </row>
    <row r="56" spans="7:19" x14ac:dyDescent="0.3">
      <c r="G56" s="8" t="str">
        <f t="shared" si="7"/>
        <v/>
      </c>
      <c r="M56" s="9" t="str">
        <f t="shared" si="8"/>
        <v/>
      </c>
      <c r="S56" s="15" t="str">
        <f t="shared" si="5"/>
        <v/>
      </c>
    </row>
    <row r="57" spans="7:19" x14ac:dyDescent="0.3">
      <c r="G57" s="8" t="str">
        <f t="shared" si="7"/>
        <v/>
      </c>
      <c r="M57" s="9" t="str">
        <f t="shared" si="8"/>
        <v/>
      </c>
      <c r="S57" s="15" t="str">
        <f t="shared" si="5"/>
        <v/>
      </c>
    </row>
    <row r="58" spans="7:19" x14ac:dyDescent="0.3">
      <c r="G58" s="8" t="str">
        <f t="shared" si="7"/>
        <v/>
      </c>
      <c r="M58" s="9" t="str">
        <f t="shared" si="8"/>
        <v/>
      </c>
      <c r="S58" s="15" t="str">
        <f t="shared" si="5"/>
        <v/>
      </c>
    </row>
    <row r="59" spans="7:19" x14ac:dyDescent="0.3">
      <c r="G59" s="8" t="str">
        <f t="shared" si="7"/>
        <v/>
      </c>
      <c r="M59" s="9" t="str">
        <f t="shared" si="8"/>
        <v/>
      </c>
      <c r="S59" s="15" t="str">
        <f t="shared" si="5"/>
        <v/>
      </c>
    </row>
    <row r="60" spans="7:19" x14ac:dyDescent="0.3">
      <c r="G60" s="8" t="str">
        <f t="shared" si="7"/>
        <v/>
      </c>
      <c r="M60" s="9" t="str">
        <f t="shared" si="8"/>
        <v/>
      </c>
      <c r="S60" s="15" t="str">
        <f t="shared" si="5"/>
        <v/>
      </c>
    </row>
    <row r="61" spans="7:19" x14ac:dyDescent="0.3">
      <c r="G61" s="8" t="str">
        <f t="shared" si="7"/>
        <v/>
      </c>
      <c r="M61" s="9" t="str">
        <f t="shared" si="8"/>
        <v/>
      </c>
      <c r="S61" s="15" t="str">
        <f t="shared" si="5"/>
        <v/>
      </c>
    </row>
    <row r="62" spans="7:19" x14ac:dyDescent="0.3">
      <c r="G62" s="8" t="str">
        <f t="shared" si="7"/>
        <v/>
      </c>
      <c r="M62" s="9" t="str">
        <f t="shared" si="8"/>
        <v/>
      </c>
      <c r="S62" s="15" t="str">
        <f t="shared" si="5"/>
        <v/>
      </c>
    </row>
    <row r="63" spans="7:19" x14ac:dyDescent="0.3">
      <c r="G63" s="8" t="str">
        <f t="shared" si="7"/>
        <v/>
      </c>
      <c r="M63" s="9" t="str">
        <f t="shared" si="8"/>
        <v/>
      </c>
      <c r="S63" s="15" t="str">
        <f t="shared" si="5"/>
        <v/>
      </c>
    </row>
    <row r="64" spans="7:19" x14ac:dyDescent="0.3">
      <c r="G64" s="8" t="str">
        <f t="shared" si="7"/>
        <v/>
      </c>
      <c r="M64" s="9" t="str">
        <f t="shared" si="8"/>
        <v/>
      </c>
      <c r="S64" s="15" t="str">
        <f t="shared" si="5"/>
        <v/>
      </c>
    </row>
    <row r="65" spans="7:19" x14ac:dyDescent="0.3">
      <c r="G65" s="8" t="str">
        <f t="shared" si="7"/>
        <v/>
      </c>
      <c r="M65" s="9" t="str">
        <f t="shared" si="8"/>
        <v/>
      </c>
      <c r="S65" s="15" t="str">
        <f t="shared" si="5"/>
        <v/>
      </c>
    </row>
    <row r="66" spans="7:19" x14ac:dyDescent="0.3">
      <c r="G66" s="8" t="str">
        <f t="shared" si="7"/>
        <v/>
      </c>
      <c r="M66" s="9" t="str">
        <f t="shared" si="8"/>
        <v/>
      </c>
      <c r="S66" s="15" t="str">
        <f t="shared" si="5"/>
        <v/>
      </c>
    </row>
    <row r="67" spans="7:19" x14ac:dyDescent="0.3">
      <c r="G67" s="8" t="str">
        <f t="shared" si="7"/>
        <v/>
      </c>
      <c r="M67" s="9" t="str">
        <f t="shared" si="8"/>
        <v/>
      </c>
      <c r="S67" s="15" t="str">
        <f t="shared" si="5"/>
        <v/>
      </c>
    </row>
    <row r="68" spans="7:19" x14ac:dyDescent="0.3">
      <c r="G68" s="8" t="str">
        <f t="shared" si="7"/>
        <v/>
      </c>
      <c r="M68" s="9" t="str">
        <f t="shared" si="8"/>
        <v/>
      </c>
      <c r="S68" s="15" t="str">
        <f t="shared" si="5"/>
        <v/>
      </c>
    </row>
    <row r="69" spans="7:19" x14ac:dyDescent="0.3">
      <c r="G69" s="8" t="str">
        <f t="shared" si="7"/>
        <v/>
      </c>
      <c r="M69" s="9" t="str">
        <f t="shared" si="8"/>
        <v/>
      </c>
      <c r="S69" s="15" t="str">
        <f t="shared" si="5"/>
        <v/>
      </c>
    </row>
    <row r="70" spans="7:19" x14ac:dyDescent="0.3">
      <c r="G70" s="8" t="str">
        <f t="shared" si="7"/>
        <v/>
      </c>
      <c r="M70" s="9" t="str">
        <f t="shared" si="8"/>
        <v/>
      </c>
      <c r="S70" s="15" t="str">
        <f t="shared" si="5"/>
        <v/>
      </c>
    </row>
    <row r="71" spans="7:19" x14ac:dyDescent="0.3">
      <c r="G71" s="8" t="str">
        <f t="shared" si="7"/>
        <v/>
      </c>
      <c r="M71" s="9" t="str">
        <f t="shared" si="8"/>
        <v/>
      </c>
      <c r="S71" s="15" t="str">
        <f t="shared" si="5"/>
        <v/>
      </c>
    </row>
    <row r="72" spans="7:19" x14ac:dyDescent="0.3">
      <c r="G72" s="8" t="str">
        <f t="shared" si="7"/>
        <v/>
      </c>
      <c r="M72" s="9" t="str">
        <f t="shared" si="8"/>
        <v/>
      </c>
      <c r="S72" s="15" t="str">
        <f t="shared" si="5"/>
        <v/>
      </c>
    </row>
    <row r="73" spans="7:19" x14ac:dyDescent="0.3">
      <c r="G73" s="8" t="str">
        <f t="shared" si="7"/>
        <v/>
      </c>
      <c r="M73" s="9" t="str">
        <f t="shared" si="8"/>
        <v/>
      </c>
      <c r="S73" s="15" t="str">
        <f t="shared" si="5"/>
        <v/>
      </c>
    </row>
    <row r="74" spans="7:19" x14ac:dyDescent="0.3">
      <c r="G74" s="8" t="str">
        <f t="shared" si="7"/>
        <v/>
      </c>
      <c r="M74" s="9" t="str">
        <f t="shared" si="8"/>
        <v/>
      </c>
      <c r="S74" s="15" t="str">
        <f t="shared" si="5"/>
        <v/>
      </c>
    </row>
    <row r="75" spans="7:19" x14ac:dyDescent="0.3">
      <c r="G75" s="8" t="str">
        <f t="shared" si="7"/>
        <v/>
      </c>
      <c r="M75" s="9" t="str">
        <f t="shared" si="8"/>
        <v/>
      </c>
      <c r="S75" s="15" t="str">
        <f t="shared" si="5"/>
        <v/>
      </c>
    </row>
    <row r="76" spans="7:19" x14ac:dyDescent="0.3">
      <c r="G76" s="8" t="str">
        <f t="shared" si="7"/>
        <v/>
      </c>
      <c r="M76" s="9" t="str">
        <f t="shared" si="8"/>
        <v/>
      </c>
      <c r="S76" s="15" t="str">
        <f t="shared" si="5"/>
        <v/>
      </c>
    </row>
    <row r="77" spans="7:19" x14ac:dyDescent="0.3">
      <c r="G77" s="8" t="str">
        <f t="shared" si="7"/>
        <v/>
      </c>
      <c r="M77" s="9" t="str">
        <f t="shared" si="8"/>
        <v/>
      </c>
      <c r="S77" s="15" t="str">
        <f t="shared" ref="S77:S87" si="13">IF(ISNUMBER(M77),M77,"")</f>
        <v/>
      </c>
    </row>
    <row r="78" spans="7:19" x14ac:dyDescent="0.3">
      <c r="G78" s="8" t="str">
        <f t="shared" si="7"/>
        <v/>
      </c>
      <c r="M78" s="9" t="str">
        <f t="shared" si="8"/>
        <v/>
      </c>
      <c r="S78" s="15" t="str">
        <f t="shared" si="13"/>
        <v/>
      </c>
    </row>
    <row r="79" spans="7:19" x14ac:dyDescent="0.3">
      <c r="G79" s="8" t="str">
        <f t="shared" ref="G79:G87" si="14">IF(ISNUMBER(A79),A79,"")</f>
        <v/>
      </c>
      <c r="M79" s="9" t="str">
        <f t="shared" ref="M79:M87" si="15">IF(ISNUMBER(G79),G79,"")</f>
        <v/>
      </c>
      <c r="S79" s="15" t="str">
        <f t="shared" si="13"/>
        <v/>
      </c>
    </row>
    <row r="80" spans="7:19" x14ac:dyDescent="0.3">
      <c r="G80" s="8" t="str">
        <f t="shared" si="14"/>
        <v/>
      </c>
      <c r="M80" s="9" t="str">
        <f t="shared" si="15"/>
        <v/>
      </c>
      <c r="S80" s="15" t="str">
        <f t="shared" si="13"/>
        <v/>
      </c>
    </row>
    <row r="81" spans="7:19" x14ac:dyDescent="0.3">
      <c r="G81" s="8" t="str">
        <f t="shared" si="14"/>
        <v/>
      </c>
      <c r="M81" s="9" t="str">
        <f t="shared" si="15"/>
        <v/>
      </c>
      <c r="S81" s="15" t="str">
        <f t="shared" si="13"/>
        <v/>
      </c>
    </row>
    <row r="82" spans="7:19" x14ac:dyDescent="0.3">
      <c r="G82" s="8" t="str">
        <f t="shared" si="14"/>
        <v/>
      </c>
      <c r="M82" s="9" t="str">
        <f t="shared" si="15"/>
        <v/>
      </c>
      <c r="S82" s="15" t="str">
        <f t="shared" si="13"/>
        <v/>
      </c>
    </row>
    <row r="83" spans="7:19" x14ac:dyDescent="0.3">
      <c r="G83" s="8" t="str">
        <f t="shared" si="14"/>
        <v/>
      </c>
      <c r="M83" s="9" t="str">
        <f t="shared" si="15"/>
        <v/>
      </c>
      <c r="S83" s="15" t="str">
        <f t="shared" si="13"/>
        <v/>
      </c>
    </row>
    <row r="84" spans="7:19" x14ac:dyDescent="0.3">
      <c r="G84" s="8" t="str">
        <f t="shared" si="14"/>
        <v/>
      </c>
      <c r="M84" s="9" t="str">
        <f t="shared" si="15"/>
        <v/>
      </c>
      <c r="S84" s="15" t="str">
        <f t="shared" si="13"/>
        <v/>
      </c>
    </row>
    <row r="85" spans="7:19" x14ac:dyDescent="0.3">
      <c r="G85" s="8" t="str">
        <f t="shared" si="14"/>
        <v/>
      </c>
      <c r="M85" s="9" t="str">
        <f t="shared" si="15"/>
        <v/>
      </c>
      <c r="S85" s="15" t="str">
        <f t="shared" si="13"/>
        <v/>
      </c>
    </row>
    <row r="86" spans="7:19" x14ac:dyDescent="0.3">
      <c r="G86" s="8" t="str">
        <f t="shared" si="14"/>
        <v/>
      </c>
      <c r="M86" s="9" t="str">
        <f t="shared" si="15"/>
        <v/>
      </c>
      <c r="S86" s="15" t="str">
        <f t="shared" si="13"/>
        <v/>
      </c>
    </row>
    <row r="87" spans="7:19" x14ac:dyDescent="0.3">
      <c r="G87" s="8" t="str">
        <f t="shared" si="14"/>
        <v/>
      </c>
      <c r="M87" s="9" t="str">
        <f t="shared" si="15"/>
        <v/>
      </c>
      <c r="S87" s="15" t="str">
        <f t="shared" si="13"/>
        <v/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"/>
  <sheetViews>
    <sheetView workbookViewId="0">
      <selection activeCell="K33" sqref="K33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3" width="9.1796875" style="2" customWidth="1"/>
    <col min="4" max="4" width="9.1796875" style="10" customWidth="1"/>
    <col min="5" max="5" width="9.1796875" style="2" customWidth="1"/>
    <col min="6" max="6" width="9.1796875" style="1" customWidth="1"/>
    <col min="7" max="7" width="9.1796875" style="4" customWidth="1"/>
    <col min="8" max="8" width="9.1796875" style="11" customWidth="1"/>
    <col min="9" max="9" width="9.1796875" style="4" customWidth="1"/>
    <col min="10" max="10" width="9.1796875" style="11" customWidth="1"/>
    <col min="11" max="12" width="9.1796875" style="4" customWidth="1"/>
    <col min="13" max="13" width="9.1796875" style="6" customWidth="1"/>
    <col min="14" max="14" width="9.1796875" style="12" customWidth="1"/>
    <col min="15" max="15" width="9.1796875" style="6" customWidth="1"/>
    <col min="16" max="16" width="9.1796875" style="12" customWidth="1"/>
    <col min="17" max="18" width="9.1796875" style="6" customWidth="1"/>
    <col min="20" max="20" width="10.54296875" bestFit="1" customWidth="1"/>
  </cols>
  <sheetData>
    <row r="1" spans="1:18" x14ac:dyDescent="0.3">
      <c r="A1" s="1" t="s">
        <v>13</v>
      </c>
      <c r="G1" s="3" t="s">
        <v>14</v>
      </c>
      <c r="M1" s="5" t="s">
        <v>15</v>
      </c>
    </row>
    <row r="3" spans="1:18" x14ac:dyDescent="0.3">
      <c r="A3" s="2" t="s">
        <v>0</v>
      </c>
      <c r="B3" s="10" t="s">
        <v>1</v>
      </c>
      <c r="C3" s="2" t="s">
        <v>2</v>
      </c>
      <c r="D3" s="10" t="s">
        <v>4</v>
      </c>
      <c r="E3" s="2" t="s">
        <v>6</v>
      </c>
      <c r="F3" s="1" t="s">
        <v>6</v>
      </c>
      <c r="G3" s="4" t="s">
        <v>0</v>
      </c>
      <c r="H3" s="11" t="s">
        <v>1</v>
      </c>
      <c r="I3" s="4" t="s">
        <v>2</v>
      </c>
      <c r="J3" s="11" t="s">
        <v>4</v>
      </c>
      <c r="K3" s="4" t="s">
        <v>6</v>
      </c>
      <c r="L3" s="3" t="s">
        <v>6</v>
      </c>
      <c r="M3" s="6" t="s">
        <v>0</v>
      </c>
      <c r="N3" s="12" t="s">
        <v>1</v>
      </c>
      <c r="O3" s="6" t="s">
        <v>2</v>
      </c>
      <c r="P3" s="12" t="s">
        <v>4</v>
      </c>
      <c r="Q3" s="6" t="s">
        <v>6</v>
      </c>
      <c r="R3" s="5" t="s">
        <v>6</v>
      </c>
    </row>
    <row r="4" spans="1:18" x14ac:dyDescent="0.3">
      <c r="C4" s="2" t="s">
        <v>3</v>
      </c>
      <c r="D4" s="10" t="s">
        <v>5</v>
      </c>
      <c r="E4" s="2" t="s">
        <v>7</v>
      </c>
      <c r="F4" s="1" t="s">
        <v>9</v>
      </c>
      <c r="I4" s="4" t="s">
        <v>3</v>
      </c>
      <c r="J4" s="11" t="s">
        <v>5</v>
      </c>
      <c r="K4" s="4" t="s">
        <v>7</v>
      </c>
      <c r="L4" s="3" t="s">
        <v>9</v>
      </c>
      <c r="O4" s="6" t="s">
        <v>3</v>
      </c>
      <c r="P4" s="12" t="s">
        <v>5</v>
      </c>
      <c r="Q4" s="6" t="s">
        <v>7</v>
      </c>
      <c r="R4" s="5" t="s">
        <v>9</v>
      </c>
    </row>
    <row r="5" spans="1:18" x14ac:dyDescent="0.3">
      <c r="E5" s="2" t="s">
        <v>8</v>
      </c>
      <c r="F5" s="1" t="s">
        <v>8</v>
      </c>
      <c r="K5" s="4" t="s">
        <v>8</v>
      </c>
      <c r="L5" s="3" t="s">
        <v>8</v>
      </c>
      <c r="Q5" s="6" t="s">
        <v>8</v>
      </c>
      <c r="R5" s="5" t="s">
        <v>8</v>
      </c>
    </row>
    <row r="7" spans="1:18" x14ac:dyDescent="0.3">
      <c r="A7" s="7">
        <v>21895</v>
      </c>
      <c r="B7" s="10">
        <v>117</v>
      </c>
      <c r="C7" s="2">
        <v>185.8</v>
      </c>
      <c r="D7" s="10">
        <v>118</v>
      </c>
      <c r="E7" s="2">
        <v>274.2</v>
      </c>
      <c r="F7" s="16">
        <f>E7+C7</f>
        <v>460</v>
      </c>
      <c r="G7" s="8">
        <f>IF(ISNUMBER(A7),A7,"")</f>
        <v>21895</v>
      </c>
      <c r="H7" s="11">
        <v>119</v>
      </c>
      <c r="I7" s="4">
        <v>178</v>
      </c>
      <c r="J7" s="11" t="s">
        <v>17</v>
      </c>
      <c r="K7" s="4">
        <f>132.94+67.15</f>
        <v>200.09</v>
      </c>
      <c r="L7" s="17">
        <f>K7+I7</f>
        <v>378.09000000000003</v>
      </c>
      <c r="M7" s="9">
        <f>IF(ISNUMBER(G7),G7,"")</f>
        <v>21895</v>
      </c>
      <c r="N7" s="12">
        <v>122</v>
      </c>
      <c r="O7" s="6">
        <v>271</v>
      </c>
      <c r="P7" s="12" t="s">
        <v>19</v>
      </c>
      <c r="Q7" s="6">
        <v>128.4</v>
      </c>
      <c r="R7" s="18">
        <f>Q7+O7</f>
        <v>399.4</v>
      </c>
    </row>
    <row r="8" spans="1:18" x14ac:dyDescent="0.3">
      <c r="A8" s="7">
        <v>22210</v>
      </c>
      <c r="B8" s="10">
        <v>117</v>
      </c>
      <c r="C8" s="2">
        <v>145</v>
      </c>
      <c r="D8" s="10">
        <v>118</v>
      </c>
      <c r="E8" s="2">
        <v>274.2</v>
      </c>
      <c r="F8" s="16">
        <f t="shared" ref="F8:F22" si="0">E8+C8</f>
        <v>419.2</v>
      </c>
      <c r="G8" s="8">
        <f t="shared" ref="G8:G72" si="1">IF(ISNUMBER(A8),A8,"")</f>
        <v>22210</v>
      </c>
      <c r="H8" s="11">
        <v>120</v>
      </c>
      <c r="I8" s="4">
        <v>191</v>
      </c>
      <c r="J8" s="11" t="s">
        <v>17</v>
      </c>
      <c r="K8" s="4">
        <f>72.94+60</f>
        <v>132.94</v>
      </c>
      <c r="L8" s="17">
        <f t="shared" ref="L8:L21" si="2">K8+I8</f>
        <v>323.94</v>
      </c>
      <c r="M8" s="9">
        <f t="shared" ref="M8:M72" si="3">IF(ISNUMBER(G8),G8,"")</f>
        <v>22210</v>
      </c>
      <c r="N8" s="12">
        <v>122</v>
      </c>
      <c r="O8" s="6">
        <v>208</v>
      </c>
      <c r="P8" s="12" t="s">
        <v>19</v>
      </c>
      <c r="Q8" s="6">
        <v>128.4</v>
      </c>
      <c r="R8" s="18">
        <f t="shared" ref="R8:R19" si="4">Q8+O8</f>
        <v>336.4</v>
      </c>
    </row>
    <row r="9" spans="1:18" x14ac:dyDescent="0.3">
      <c r="A9" s="7">
        <v>23949</v>
      </c>
      <c r="B9" s="10">
        <v>117</v>
      </c>
      <c r="C9" s="2">
        <v>109.9</v>
      </c>
      <c r="D9" s="10">
        <v>118</v>
      </c>
      <c r="E9" s="2">
        <v>274.2</v>
      </c>
      <c r="F9" s="16">
        <f t="shared" si="0"/>
        <v>384.1</v>
      </c>
      <c r="G9" s="8">
        <f t="shared" si="1"/>
        <v>23949</v>
      </c>
      <c r="H9" s="11">
        <v>120</v>
      </c>
      <c r="I9" s="4">
        <v>145.1</v>
      </c>
      <c r="J9" s="11" t="s">
        <v>17</v>
      </c>
      <c r="K9" s="4">
        <f>72.94+60</f>
        <v>132.94</v>
      </c>
      <c r="L9" s="17">
        <f t="shared" si="2"/>
        <v>278.03999999999996</v>
      </c>
      <c r="M9" s="9">
        <f t="shared" si="3"/>
        <v>23949</v>
      </c>
      <c r="N9" s="12">
        <v>122</v>
      </c>
      <c r="O9" s="6">
        <v>159</v>
      </c>
      <c r="P9" s="12" t="s">
        <v>19</v>
      </c>
      <c r="Q9" s="6">
        <v>128.4</v>
      </c>
      <c r="R9" s="18">
        <f t="shared" si="4"/>
        <v>287.39999999999998</v>
      </c>
    </row>
    <row r="10" spans="1:18" x14ac:dyDescent="0.3">
      <c r="A10" s="7">
        <v>25769</v>
      </c>
      <c r="B10" s="10">
        <v>117</v>
      </c>
      <c r="C10" s="2">
        <v>82</v>
      </c>
      <c r="D10" s="10">
        <v>118</v>
      </c>
      <c r="E10" s="2">
        <v>274.2</v>
      </c>
      <c r="F10" s="16">
        <f t="shared" si="0"/>
        <v>356.2</v>
      </c>
      <c r="G10" s="8">
        <f t="shared" si="1"/>
        <v>25769</v>
      </c>
      <c r="L10" s="17"/>
      <c r="M10" s="9">
        <f t="shared" si="3"/>
        <v>25769</v>
      </c>
      <c r="N10" s="12">
        <v>122</v>
      </c>
      <c r="O10" s="6">
        <v>130</v>
      </c>
      <c r="P10" s="12" t="s">
        <v>19</v>
      </c>
      <c r="Q10" s="6">
        <v>128.4</v>
      </c>
      <c r="R10" s="18">
        <f t="shared" si="4"/>
        <v>258.39999999999998</v>
      </c>
    </row>
    <row r="11" spans="1:18" x14ac:dyDescent="0.3">
      <c r="A11" s="7">
        <v>27228</v>
      </c>
      <c r="B11" s="10">
        <v>117</v>
      </c>
      <c r="C11" s="2">
        <v>60.9</v>
      </c>
      <c r="D11" s="10">
        <v>118</v>
      </c>
      <c r="E11" s="2">
        <v>274.2</v>
      </c>
      <c r="F11" s="16">
        <f t="shared" si="0"/>
        <v>335.09999999999997</v>
      </c>
      <c r="G11" s="8">
        <f t="shared" si="1"/>
        <v>27228</v>
      </c>
      <c r="H11" s="11">
        <v>119</v>
      </c>
      <c r="I11" s="4">
        <v>62.85</v>
      </c>
      <c r="J11" s="11" t="s">
        <v>17</v>
      </c>
      <c r="K11" s="4">
        <f>132.94+67.15</f>
        <v>200.09</v>
      </c>
      <c r="L11" s="17">
        <f t="shared" si="2"/>
        <v>262.94</v>
      </c>
      <c r="M11" s="9">
        <f t="shared" si="3"/>
        <v>27228</v>
      </c>
      <c r="N11" s="12">
        <v>122</v>
      </c>
      <c r="O11" s="6">
        <v>102</v>
      </c>
      <c r="P11" s="12" t="s">
        <v>19</v>
      </c>
      <c r="Q11" s="6">
        <v>128.4</v>
      </c>
      <c r="R11" s="18">
        <f t="shared" si="4"/>
        <v>230.4</v>
      </c>
    </row>
    <row r="12" spans="1:18" x14ac:dyDescent="0.3">
      <c r="A12" s="7">
        <v>29528</v>
      </c>
      <c r="B12" s="10">
        <v>117</v>
      </c>
      <c r="C12" s="2">
        <v>34.1</v>
      </c>
      <c r="D12" s="10">
        <v>118</v>
      </c>
      <c r="E12" s="2">
        <v>274.2</v>
      </c>
      <c r="F12" s="16">
        <f t="shared" si="0"/>
        <v>308.3</v>
      </c>
      <c r="G12" s="8">
        <f t="shared" si="1"/>
        <v>29528</v>
      </c>
      <c r="H12" s="11">
        <v>119</v>
      </c>
      <c r="I12" s="4">
        <v>36.24</v>
      </c>
      <c r="J12" s="11" t="s">
        <v>17</v>
      </c>
      <c r="K12" s="4">
        <f>132.94+67.15</f>
        <v>200.09</v>
      </c>
      <c r="L12" s="17">
        <f t="shared" si="2"/>
        <v>236.33</v>
      </c>
      <c r="M12" s="9">
        <f t="shared" si="3"/>
        <v>29528</v>
      </c>
      <c r="N12" s="12">
        <v>122</v>
      </c>
      <c r="O12" s="6">
        <v>73.599999999999994</v>
      </c>
      <c r="P12" s="12" t="s">
        <v>19</v>
      </c>
      <c r="Q12" s="6">
        <v>128.4</v>
      </c>
      <c r="R12" s="18">
        <f t="shared" si="4"/>
        <v>202</v>
      </c>
    </row>
    <row r="13" spans="1:18" x14ac:dyDescent="0.3">
      <c r="A13" s="7">
        <v>31716</v>
      </c>
      <c r="B13" s="10">
        <v>117</v>
      </c>
      <c r="C13" s="2">
        <v>5.5</v>
      </c>
      <c r="D13" s="10">
        <v>118</v>
      </c>
      <c r="E13" s="2">
        <v>274.2</v>
      </c>
      <c r="F13" s="16">
        <f t="shared" si="0"/>
        <v>279.7</v>
      </c>
      <c r="G13" s="8">
        <f t="shared" si="1"/>
        <v>31716</v>
      </c>
      <c r="H13" s="11">
        <v>120</v>
      </c>
      <c r="I13" s="4">
        <v>74.95</v>
      </c>
      <c r="J13" s="11" t="s">
        <v>17</v>
      </c>
      <c r="K13" s="4">
        <f>72.94+60</f>
        <v>132.94</v>
      </c>
      <c r="L13" s="17">
        <f t="shared" si="2"/>
        <v>207.89</v>
      </c>
      <c r="M13" s="9">
        <f t="shared" si="3"/>
        <v>31716</v>
      </c>
      <c r="N13" s="12">
        <v>122</v>
      </c>
      <c r="O13" s="6">
        <v>47.2</v>
      </c>
      <c r="P13" s="12" t="s">
        <v>19</v>
      </c>
      <c r="Q13" s="6">
        <v>128.4</v>
      </c>
      <c r="R13" s="18">
        <f t="shared" si="4"/>
        <v>175.60000000000002</v>
      </c>
    </row>
    <row r="14" spans="1:18" x14ac:dyDescent="0.3">
      <c r="A14" s="7">
        <v>33528</v>
      </c>
      <c r="B14" s="10" t="s">
        <v>16</v>
      </c>
      <c r="C14" s="2">
        <v>82.7</v>
      </c>
      <c r="D14" s="10">
        <v>118</v>
      </c>
      <c r="E14" s="2">
        <v>166.24</v>
      </c>
      <c r="F14" s="16">
        <f t="shared" si="0"/>
        <v>248.94</v>
      </c>
      <c r="G14" s="8">
        <f t="shared" si="1"/>
        <v>33528</v>
      </c>
      <c r="H14" s="11">
        <v>120</v>
      </c>
      <c r="I14" s="4">
        <v>47.2</v>
      </c>
      <c r="J14" s="11" t="s">
        <v>17</v>
      </c>
      <c r="K14" s="4">
        <f>72.94+60</f>
        <v>132.94</v>
      </c>
      <c r="L14" s="17">
        <f t="shared" si="2"/>
        <v>180.14</v>
      </c>
      <c r="M14" s="9">
        <f t="shared" si="3"/>
        <v>33528</v>
      </c>
      <c r="N14" s="12">
        <v>122</v>
      </c>
      <c r="O14" s="6">
        <v>23.16</v>
      </c>
      <c r="P14" s="12" t="s">
        <v>19</v>
      </c>
      <c r="Q14" s="6">
        <v>128.4</v>
      </c>
      <c r="R14" s="18">
        <f t="shared" si="4"/>
        <v>151.56</v>
      </c>
    </row>
    <row r="15" spans="1:18" x14ac:dyDescent="0.3">
      <c r="A15" s="7">
        <v>34895</v>
      </c>
      <c r="F15" s="16"/>
      <c r="G15" s="8">
        <f t="shared" si="1"/>
        <v>34895</v>
      </c>
      <c r="H15" s="11">
        <v>120</v>
      </c>
      <c r="I15" s="4">
        <v>28.68</v>
      </c>
      <c r="J15" s="11" t="s">
        <v>17</v>
      </c>
      <c r="K15" s="4">
        <f>72.94+60</f>
        <v>132.94</v>
      </c>
      <c r="L15" s="17">
        <f t="shared" si="2"/>
        <v>161.62</v>
      </c>
      <c r="M15" s="9">
        <f t="shared" si="3"/>
        <v>34895</v>
      </c>
      <c r="N15" s="12">
        <v>122</v>
      </c>
      <c r="O15" s="6">
        <v>4.24</v>
      </c>
      <c r="P15" s="12" t="s">
        <v>19</v>
      </c>
      <c r="Q15" s="6">
        <v>128.4</v>
      </c>
      <c r="R15" s="18">
        <f t="shared" si="4"/>
        <v>132.64000000000001</v>
      </c>
    </row>
    <row r="16" spans="1:18" x14ac:dyDescent="0.3">
      <c r="A16" s="7">
        <v>36404</v>
      </c>
      <c r="B16" s="10" t="s">
        <v>16</v>
      </c>
      <c r="C16" s="2">
        <v>39.71</v>
      </c>
      <c r="D16" s="10">
        <v>118</v>
      </c>
      <c r="E16" s="2">
        <v>166.24</v>
      </c>
      <c r="F16" s="16">
        <f t="shared" si="0"/>
        <v>205.95000000000002</v>
      </c>
      <c r="G16" s="8">
        <f t="shared" si="1"/>
        <v>36404</v>
      </c>
      <c r="L16" s="17"/>
      <c r="M16" s="9">
        <f t="shared" si="3"/>
        <v>36404</v>
      </c>
      <c r="N16" s="12" t="s">
        <v>19</v>
      </c>
      <c r="O16" s="6">
        <v>114.23</v>
      </c>
      <c r="P16" s="12" t="s">
        <v>19</v>
      </c>
      <c r="Q16" s="6">
        <v>0</v>
      </c>
      <c r="R16" s="18">
        <f t="shared" si="4"/>
        <v>114.23</v>
      </c>
    </row>
    <row r="17" spans="1:19" x14ac:dyDescent="0.3">
      <c r="A17" s="7">
        <v>37817</v>
      </c>
      <c r="F17" s="16"/>
      <c r="G17" s="8">
        <f t="shared" si="1"/>
        <v>37817</v>
      </c>
      <c r="H17" s="11" t="s">
        <v>18</v>
      </c>
      <c r="I17" s="4">
        <v>68.709999999999994</v>
      </c>
      <c r="J17" s="11" t="s">
        <v>17</v>
      </c>
      <c r="K17" s="4">
        <v>72.94</v>
      </c>
      <c r="L17" s="17">
        <f t="shared" si="2"/>
        <v>141.64999999999998</v>
      </c>
      <c r="M17" s="9">
        <f t="shared" si="3"/>
        <v>37817</v>
      </c>
      <c r="R17" s="18"/>
    </row>
    <row r="18" spans="1:19" x14ac:dyDescent="0.3">
      <c r="A18" s="7">
        <v>38986</v>
      </c>
      <c r="B18" s="10" t="s">
        <v>16</v>
      </c>
      <c r="C18" s="2">
        <v>7.32</v>
      </c>
      <c r="D18" s="10">
        <v>118</v>
      </c>
      <c r="E18" s="2">
        <v>166.24</v>
      </c>
      <c r="F18" s="16">
        <f t="shared" si="0"/>
        <v>173.56</v>
      </c>
      <c r="G18" s="8">
        <f t="shared" si="1"/>
        <v>38986</v>
      </c>
      <c r="H18" s="11" t="s">
        <v>18</v>
      </c>
      <c r="I18" s="4">
        <v>54.78</v>
      </c>
      <c r="J18" s="11" t="s">
        <v>17</v>
      </c>
      <c r="K18" s="4">
        <v>72.94</v>
      </c>
      <c r="L18" s="17">
        <f t="shared" si="2"/>
        <v>127.72</v>
      </c>
      <c r="M18" s="9">
        <f t="shared" si="3"/>
        <v>38986</v>
      </c>
      <c r="N18" s="12" t="s">
        <v>19</v>
      </c>
      <c r="O18" s="6">
        <v>82.2</v>
      </c>
      <c r="P18" s="12" t="s">
        <v>19</v>
      </c>
      <c r="Q18" s="6">
        <v>0</v>
      </c>
      <c r="R18" s="18">
        <f t="shared" si="4"/>
        <v>82.2</v>
      </c>
    </row>
    <row r="19" spans="1:19" x14ac:dyDescent="0.3">
      <c r="A19" s="7">
        <v>40009</v>
      </c>
      <c r="B19" s="10">
        <v>119</v>
      </c>
      <c r="C19" s="2">
        <v>83.71</v>
      </c>
      <c r="D19" s="10">
        <v>118</v>
      </c>
      <c r="E19" s="20">
        <v>75</v>
      </c>
      <c r="F19" s="1">
        <f t="shared" si="0"/>
        <v>158.70999999999998</v>
      </c>
      <c r="G19" s="8">
        <f t="shared" si="1"/>
        <v>40009</v>
      </c>
      <c r="H19" s="11" t="s">
        <v>18</v>
      </c>
      <c r="I19" s="4">
        <v>42.97</v>
      </c>
      <c r="J19" s="11" t="s">
        <v>17</v>
      </c>
      <c r="K19" s="4">
        <v>72.94</v>
      </c>
      <c r="L19" s="17">
        <f t="shared" si="2"/>
        <v>115.91</v>
      </c>
      <c r="M19" s="9">
        <f t="shared" si="3"/>
        <v>40009</v>
      </c>
      <c r="N19" s="12" t="s">
        <v>19</v>
      </c>
      <c r="O19" s="6">
        <v>69.12</v>
      </c>
      <c r="P19" s="12" t="s">
        <v>19</v>
      </c>
      <c r="Q19" s="6">
        <v>0</v>
      </c>
      <c r="R19" s="18">
        <f t="shared" si="4"/>
        <v>69.12</v>
      </c>
    </row>
    <row r="20" spans="1:19" x14ac:dyDescent="0.3">
      <c r="A20" s="7">
        <v>40798</v>
      </c>
      <c r="B20" s="10">
        <v>119</v>
      </c>
      <c r="C20" s="20">
        <v>78</v>
      </c>
      <c r="D20" s="10">
        <v>118</v>
      </c>
      <c r="E20" s="20">
        <v>75</v>
      </c>
      <c r="F20" s="16">
        <f t="shared" si="0"/>
        <v>153</v>
      </c>
      <c r="G20" s="8">
        <f t="shared" si="1"/>
        <v>40798</v>
      </c>
      <c r="H20" s="30" t="s">
        <v>18</v>
      </c>
      <c r="I20" s="22">
        <v>39.9</v>
      </c>
      <c r="J20" s="30" t="s">
        <v>17</v>
      </c>
      <c r="K20" s="4">
        <v>72.94</v>
      </c>
      <c r="L20" s="17">
        <f t="shared" si="2"/>
        <v>112.84</v>
      </c>
      <c r="M20" s="9">
        <f t="shared" si="3"/>
        <v>40798</v>
      </c>
      <c r="N20" s="12" t="s">
        <v>19</v>
      </c>
      <c r="O20" s="23">
        <v>65.599999999999994</v>
      </c>
      <c r="P20" s="12" t="s">
        <v>19</v>
      </c>
      <c r="Q20" s="6">
        <v>0</v>
      </c>
      <c r="R20" s="18">
        <f t="shared" ref="R20:R27" si="5">Q20+O20</f>
        <v>65.599999999999994</v>
      </c>
    </row>
    <row r="21" spans="1:19" x14ac:dyDescent="0.3">
      <c r="A21" s="7">
        <v>41177</v>
      </c>
      <c r="G21" s="8">
        <f t="shared" si="1"/>
        <v>41177</v>
      </c>
      <c r="H21" s="30" t="s">
        <v>18</v>
      </c>
      <c r="I21" s="4">
        <v>36.32</v>
      </c>
      <c r="J21" s="30" t="s">
        <v>17</v>
      </c>
      <c r="K21" s="4">
        <v>72.94</v>
      </c>
      <c r="L21" s="32">
        <f t="shared" si="2"/>
        <v>109.25999999999999</v>
      </c>
      <c r="M21" s="9">
        <f t="shared" si="3"/>
        <v>41177</v>
      </c>
      <c r="N21" s="31" t="s">
        <v>19</v>
      </c>
      <c r="O21" s="6">
        <v>62.92</v>
      </c>
      <c r="P21" s="31" t="s">
        <v>19</v>
      </c>
      <c r="Q21" s="6">
        <v>0</v>
      </c>
      <c r="R21" s="33">
        <f t="shared" si="5"/>
        <v>62.92</v>
      </c>
      <c r="S21" s="29" t="s">
        <v>130</v>
      </c>
    </row>
    <row r="22" spans="1:19" x14ac:dyDescent="0.3">
      <c r="A22" s="7">
        <v>41458</v>
      </c>
      <c r="B22" s="10">
        <v>118</v>
      </c>
      <c r="C22" s="2">
        <v>144.97999999999999</v>
      </c>
      <c r="D22" s="10">
        <v>118</v>
      </c>
      <c r="E22" s="2">
        <v>0</v>
      </c>
      <c r="F22" s="16">
        <f t="shared" si="0"/>
        <v>144.97999999999999</v>
      </c>
      <c r="G22" s="8">
        <f t="shared" si="1"/>
        <v>41458</v>
      </c>
      <c r="H22" s="30" t="s">
        <v>18</v>
      </c>
      <c r="I22" s="4">
        <v>35.520000000000003</v>
      </c>
      <c r="J22" s="30" t="s">
        <v>17</v>
      </c>
      <c r="K22" s="4">
        <v>72.94</v>
      </c>
      <c r="L22" s="32">
        <f t="shared" ref="L22:L27" si="6">K22+I22</f>
        <v>108.46000000000001</v>
      </c>
      <c r="M22" s="9">
        <f t="shared" si="3"/>
        <v>41458</v>
      </c>
      <c r="N22" s="31" t="s">
        <v>19</v>
      </c>
      <c r="O22" s="6">
        <v>61.03</v>
      </c>
      <c r="P22" s="31" t="s">
        <v>19</v>
      </c>
      <c r="Q22" s="6">
        <v>0</v>
      </c>
      <c r="R22" s="33">
        <f t="shared" si="5"/>
        <v>61.03</v>
      </c>
    </row>
    <row r="23" spans="1:19" x14ac:dyDescent="0.3">
      <c r="A23" s="7">
        <v>42420</v>
      </c>
      <c r="B23" s="10">
        <v>118</v>
      </c>
      <c r="C23" s="2">
        <v>133.75</v>
      </c>
      <c r="D23" s="10">
        <v>118</v>
      </c>
      <c r="E23" s="2">
        <v>0</v>
      </c>
      <c r="F23" s="1">
        <f>E23+C23</f>
        <v>133.75</v>
      </c>
      <c r="G23" s="8">
        <f t="shared" si="1"/>
        <v>42420</v>
      </c>
      <c r="H23" s="30" t="s">
        <v>18</v>
      </c>
      <c r="I23" s="4">
        <v>23.83</v>
      </c>
      <c r="J23" s="30" t="s">
        <v>17</v>
      </c>
      <c r="K23" s="4">
        <v>72.94</v>
      </c>
      <c r="L23" s="32">
        <f t="shared" si="6"/>
        <v>96.77</v>
      </c>
      <c r="M23" s="9">
        <f t="shared" si="3"/>
        <v>42420</v>
      </c>
      <c r="N23" s="31" t="s">
        <v>19</v>
      </c>
      <c r="O23" s="6">
        <v>50.64</v>
      </c>
      <c r="P23" s="31" t="s">
        <v>19</v>
      </c>
      <c r="Q23" s="6">
        <v>0</v>
      </c>
      <c r="R23" s="33">
        <f t="shared" si="5"/>
        <v>50.64</v>
      </c>
      <c r="S23" s="29" t="s">
        <v>147</v>
      </c>
    </row>
    <row r="24" spans="1:19" x14ac:dyDescent="0.3">
      <c r="A24" s="7">
        <v>43718</v>
      </c>
      <c r="B24" s="28" t="s">
        <v>108</v>
      </c>
      <c r="G24" s="8">
        <f t="shared" si="1"/>
        <v>43718</v>
      </c>
      <c r="H24" s="30" t="s">
        <v>18</v>
      </c>
      <c r="I24" s="4">
        <v>9.14</v>
      </c>
      <c r="J24" s="30" t="s">
        <v>17</v>
      </c>
      <c r="K24" s="4">
        <v>72.94</v>
      </c>
      <c r="L24" s="32">
        <f t="shared" si="6"/>
        <v>82.08</v>
      </c>
      <c r="M24" s="9">
        <f t="shared" si="3"/>
        <v>43718</v>
      </c>
      <c r="N24" s="31" t="s">
        <v>19</v>
      </c>
      <c r="O24" s="6">
        <v>38.32</v>
      </c>
      <c r="P24" s="31" t="s">
        <v>19</v>
      </c>
      <c r="Q24" s="6">
        <v>0</v>
      </c>
      <c r="R24" s="33">
        <f t="shared" si="5"/>
        <v>38.32</v>
      </c>
      <c r="S24" s="29" t="s">
        <v>235</v>
      </c>
    </row>
    <row r="25" spans="1:19" x14ac:dyDescent="0.3">
      <c r="A25" s="7">
        <v>44081</v>
      </c>
      <c r="B25" s="10">
        <v>118</v>
      </c>
      <c r="C25" s="2">
        <v>114.65</v>
      </c>
      <c r="D25" s="10">
        <v>118</v>
      </c>
      <c r="E25" s="2">
        <v>0</v>
      </c>
      <c r="F25" s="1">
        <f>E25+C25</f>
        <v>114.65</v>
      </c>
      <c r="G25" s="8">
        <f t="shared" si="1"/>
        <v>44081</v>
      </c>
      <c r="H25" s="11" t="s">
        <v>18</v>
      </c>
      <c r="I25" s="4">
        <v>3.75</v>
      </c>
      <c r="J25" s="30" t="s">
        <v>17</v>
      </c>
      <c r="K25" s="4">
        <v>72.94</v>
      </c>
      <c r="L25" s="32">
        <f t="shared" si="6"/>
        <v>76.69</v>
      </c>
      <c r="M25" s="9">
        <f t="shared" si="3"/>
        <v>44081</v>
      </c>
      <c r="N25" s="12" t="s">
        <v>19</v>
      </c>
      <c r="O25" s="6">
        <v>33.57</v>
      </c>
      <c r="P25" s="12" t="s">
        <v>19</v>
      </c>
      <c r="Q25" s="6">
        <v>0</v>
      </c>
      <c r="R25" s="33">
        <f t="shared" si="5"/>
        <v>33.57</v>
      </c>
    </row>
    <row r="26" spans="1:19" x14ac:dyDescent="0.3">
      <c r="A26" s="7">
        <v>45152</v>
      </c>
      <c r="B26" s="10">
        <v>118</v>
      </c>
      <c r="C26" s="20">
        <v>83.4</v>
      </c>
      <c r="D26" s="10">
        <v>118</v>
      </c>
      <c r="E26" s="2">
        <v>0</v>
      </c>
      <c r="F26" s="16">
        <f>E26+C26</f>
        <v>83.4</v>
      </c>
      <c r="G26" s="8">
        <f t="shared" si="1"/>
        <v>45152</v>
      </c>
      <c r="H26" s="30" t="s">
        <v>17</v>
      </c>
      <c r="I26" s="4">
        <v>65.83</v>
      </c>
      <c r="J26" s="30" t="s">
        <v>17</v>
      </c>
      <c r="K26" s="4">
        <v>0</v>
      </c>
      <c r="L26" s="32">
        <f t="shared" si="6"/>
        <v>65.83</v>
      </c>
      <c r="M26" s="9">
        <f t="shared" si="3"/>
        <v>45152</v>
      </c>
      <c r="N26" s="31" t="s">
        <v>19</v>
      </c>
      <c r="O26" s="6">
        <v>25.83</v>
      </c>
      <c r="P26" s="31" t="s">
        <v>19</v>
      </c>
      <c r="Q26" s="6">
        <v>0</v>
      </c>
      <c r="R26" s="33">
        <f t="shared" si="5"/>
        <v>25.83</v>
      </c>
    </row>
    <row r="27" spans="1:19" x14ac:dyDescent="0.3">
      <c r="A27" s="7">
        <v>45488</v>
      </c>
      <c r="B27" s="10">
        <v>118</v>
      </c>
      <c r="C27" s="2">
        <v>80.930000000000007</v>
      </c>
      <c r="D27" s="10">
        <v>118</v>
      </c>
      <c r="E27" s="2">
        <v>0</v>
      </c>
      <c r="F27" s="1">
        <f>E27+C27</f>
        <v>80.930000000000007</v>
      </c>
      <c r="G27" s="8">
        <f t="shared" si="1"/>
        <v>45488</v>
      </c>
      <c r="H27" s="30" t="s">
        <v>17</v>
      </c>
      <c r="I27" s="4">
        <v>64.56</v>
      </c>
      <c r="J27" s="30" t="s">
        <v>17</v>
      </c>
      <c r="K27" s="4">
        <v>0</v>
      </c>
      <c r="L27" s="32">
        <f t="shared" si="6"/>
        <v>64.56</v>
      </c>
      <c r="M27" s="9">
        <f t="shared" si="3"/>
        <v>45488</v>
      </c>
      <c r="N27" s="31" t="s">
        <v>19</v>
      </c>
      <c r="O27" s="6">
        <v>22.39</v>
      </c>
      <c r="P27" s="31" t="s">
        <v>19</v>
      </c>
      <c r="Q27" s="6">
        <v>0</v>
      </c>
      <c r="R27" s="33">
        <f t="shared" si="5"/>
        <v>22.39</v>
      </c>
    </row>
    <row r="28" spans="1:19" x14ac:dyDescent="0.3">
      <c r="G28" s="8" t="str">
        <f t="shared" si="1"/>
        <v/>
      </c>
      <c r="M28" s="9" t="str">
        <f t="shared" si="3"/>
        <v/>
      </c>
    </row>
    <row r="29" spans="1:19" x14ac:dyDescent="0.3">
      <c r="G29" s="8" t="str">
        <f t="shared" si="1"/>
        <v/>
      </c>
      <c r="M29" s="9" t="str">
        <f t="shared" si="3"/>
        <v/>
      </c>
    </row>
    <row r="30" spans="1:19" x14ac:dyDescent="0.3">
      <c r="G30" s="8" t="str">
        <f t="shared" si="1"/>
        <v/>
      </c>
      <c r="M30" s="9" t="str">
        <f t="shared" si="3"/>
        <v/>
      </c>
    </row>
    <row r="31" spans="1:19" x14ac:dyDescent="0.3">
      <c r="G31" s="8" t="str">
        <f t="shared" si="1"/>
        <v/>
      </c>
      <c r="M31" s="9" t="str">
        <f t="shared" si="3"/>
        <v/>
      </c>
    </row>
    <row r="32" spans="1:19" x14ac:dyDescent="0.3">
      <c r="E32" s="20"/>
      <c r="G32" s="8" t="str">
        <f t="shared" si="1"/>
        <v/>
      </c>
      <c r="M32" s="9" t="str">
        <f t="shared" si="3"/>
        <v/>
      </c>
    </row>
    <row r="33" spans="7:20" x14ac:dyDescent="0.3">
      <c r="G33" s="8" t="str">
        <f t="shared" si="1"/>
        <v/>
      </c>
      <c r="M33" s="9" t="str">
        <f t="shared" si="3"/>
        <v/>
      </c>
      <c r="T33" s="51"/>
    </row>
    <row r="34" spans="7:20" x14ac:dyDescent="0.3">
      <c r="G34" s="8" t="str">
        <f t="shared" si="1"/>
        <v/>
      </c>
      <c r="K34" s="22"/>
      <c r="M34" s="9" t="str">
        <f t="shared" si="3"/>
        <v/>
      </c>
    </row>
    <row r="35" spans="7:20" x14ac:dyDescent="0.3">
      <c r="G35" s="8" t="str">
        <f t="shared" si="1"/>
        <v/>
      </c>
      <c r="M35" s="9" t="str">
        <f t="shared" si="3"/>
        <v/>
      </c>
    </row>
    <row r="36" spans="7:20" x14ac:dyDescent="0.3">
      <c r="G36" s="8" t="str">
        <f t="shared" si="1"/>
        <v/>
      </c>
      <c r="M36" s="9" t="str">
        <f t="shared" si="3"/>
        <v/>
      </c>
      <c r="T36" s="51"/>
    </row>
    <row r="37" spans="7:20" x14ac:dyDescent="0.3">
      <c r="G37" s="8" t="str">
        <f t="shared" si="1"/>
        <v/>
      </c>
      <c r="M37" s="9" t="str">
        <f t="shared" si="3"/>
        <v/>
      </c>
    </row>
    <row r="38" spans="7:20" x14ac:dyDescent="0.3">
      <c r="G38" s="8" t="str">
        <f t="shared" si="1"/>
        <v/>
      </c>
      <c r="M38" s="9" t="str">
        <f t="shared" si="3"/>
        <v/>
      </c>
    </row>
    <row r="39" spans="7:20" x14ac:dyDescent="0.3">
      <c r="G39" s="8" t="str">
        <f t="shared" si="1"/>
        <v/>
      </c>
      <c r="M39" s="9" t="str">
        <f t="shared" si="3"/>
        <v/>
      </c>
    </row>
    <row r="40" spans="7:20" x14ac:dyDescent="0.3">
      <c r="G40" s="8" t="str">
        <f t="shared" si="1"/>
        <v/>
      </c>
      <c r="M40" s="9" t="str">
        <f t="shared" si="3"/>
        <v/>
      </c>
      <c r="T40" s="51"/>
    </row>
    <row r="41" spans="7:20" x14ac:dyDescent="0.3">
      <c r="G41" s="8" t="str">
        <f t="shared" si="1"/>
        <v/>
      </c>
      <c r="M41" s="9" t="str">
        <f t="shared" si="3"/>
        <v/>
      </c>
    </row>
    <row r="42" spans="7:20" x14ac:dyDescent="0.3">
      <c r="G42" s="8" t="str">
        <f t="shared" si="1"/>
        <v/>
      </c>
      <c r="M42" s="9" t="str">
        <f t="shared" si="3"/>
        <v/>
      </c>
    </row>
    <row r="43" spans="7:20" x14ac:dyDescent="0.3">
      <c r="G43" s="8" t="str">
        <f t="shared" si="1"/>
        <v/>
      </c>
      <c r="M43" s="9" t="str">
        <f t="shared" si="3"/>
        <v/>
      </c>
    </row>
    <row r="44" spans="7:20" x14ac:dyDescent="0.3">
      <c r="G44" s="8" t="str">
        <f t="shared" si="1"/>
        <v/>
      </c>
      <c r="M44" s="9" t="str">
        <f t="shared" si="3"/>
        <v/>
      </c>
      <c r="T44" s="51"/>
    </row>
    <row r="45" spans="7:20" x14ac:dyDescent="0.3">
      <c r="G45" s="8" t="str">
        <f t="shared" si="1"/>
        <v/>
      </c>
      <c r="M45" s="9" t="str">
        <f t="shared" si="3"/>
        <v/>
      </c>
    </row>
    <row r="46" spans="7:20" x14ac:dyDescent="0.3">
      <c r="G46" s="8" t="str">
        <f t="shared" si="1"/>
        <v/>
      </c>
      <c r="M46" s="9" t="str">
        <f t="shared" si="3"/>
        <v/>
      </c>
    </row>
    <row r="47" spans="7:20" x14ac:dyDescent="0.3">
      <c r="G47" s="8" t="str">
        <f t="shared" si="1"/>
        <v/>
      </c>
      <c r="M47" s="9" t="str">
        <f t="shared" si="3"/>
        <v/>
      </c>
    </row>
    <row r="48" spans="7:20" x14ac:dyDescent="0.3">
      <c r="G48" s="8" t="str">
        <f t="shared" si="1"/>
        <v/>
      </c>
      <c r="M48" s="9" t="str">
        <f t="shared" si="3"/>
        <v/>
      </c>
    </row>
    <row r="49" spans="7:13" x14ac:dyDescent="0.3">
      <c r="G49" s="8" t="str">
        <f t="shared" si="1"/>
        <v/>
      </c>
      <c r="M49" s="9" t="str">
        <f t="shared" si="3"/>
        <v/>
      </c>
    </row>
    <row r="50" spans="7:13" x14ac:dyDescent="0.3">
      <c r="G50" s="8" t="str">
        <f t="shared" si="1"/>
        <v/>
      </c>
      <c r="M50" s="9" t="str">
        <f t="shared" si="3"/>
        <v/>
      </c>
    </row>
    <row r="51" spans="7:13" x14ac:dyDescent="0.3">
      <c r="G51" s="8" t="str">
        <f t="shared" si="1"/>
        <v/>
      </c>
      <c r="M51" s="9" t="str">
        <f t="shared" si="3"/>
        <v/>
      </c>
    </row>
    <row r="52" spans="7:13" x14ac:dyDescent="0.3">
      <c r="G52" s="8" t="str">
        <f t="shared" si="1"/>
        <v/>
      </c>
      <c r="M52" s="9" t="str">
        <f t="shared" si="3"/>
        <v/>
      </c>
    </row>
    <row r="53" spans="7:13" x14ac:dyDescent="0.3">
      <c r="G53" s="8" t="str">
        <f t="shared" si="1"/>
        <v/>
      </c>
      <c r="M53" s="9" t="str">
        <f t="shared" si="3"/>
        <v/>
      </c>
    </row>
    <row r="54" spans="7:13" x14ac:dyDescent="0.3">
      <c r="G54" s="8" t="str">
        <f t="shared" si="1"/>
        <v/>
      </c>
      <c r="M54" s="9" t="str">
        <f t="shared" si="3"/>
        <v/>
      </c>
    </row>
    <row r="55" spans="7:13" x14ac:dyDescent="0.3">
      <c r="G55" s="8" t="str">
        <f t="shared" si="1"/>
        <v/>
      </c>
      <c r="M55" s="9" t="str">
        <f t="shared" si="3"/>
        <v/>
      </c>
    </row>
    <row r="56" spans="7:13" x14ac:dyDescent="0.3">
      <c r="G56" s="8" t="str">
        <f t="shared" si="1"/>
        <v/>
      </c>
      <c r="M56" s="9" t="str">
        <f t="shared" si="3"/>
        <v/>
      </c>
    </row>
    <row r="57" spans="7:13" x14ac:dyDescent="0.3">
      <c r="G57" s="8" t="str">
        <f t="shared" si="1"/>
        <v/>
      </c>
      <c r="M57" s="9" t="str">
        <f t="shared" si="3"/>
        <v/>
      </c>
    </row>
    <row r="58" spans="7:13" x14ac:dyDescent="0.3">
      <c r="G58" s="8" t="str">
        <f t="shared" si="1"/>
        <v/>
      </c>
      <c r="M58" s="9" t="str">
        <f t="shared" si="3"/>
        <v/>
      </c>
    </row>
    <row r="59" spans="7:13" x14ac:dyDescent="0.3">
      <c r="G59" s="8" t="str">
        <f t="shared" si="1"/>
        <v/>
      </c>
      <c r="M59" s="9" t="str">
        <f t="shared" si="3"/>
        <v/>
      </c>
    </row>
    <row r="60" spans="7:13" x14ac:dyDescent="0.3">
      <c r="G60" s="8" t="str">
        <f t="shared" si="1"/>
        <v/>
      </c>
      <c r="M60" s="9" t="str">
        <f t="shared" si="3"/>
        <v/>
      </c>
    </row>
    <row r="61" spans="7:13" x14ac:dyDescent="0.3">
      <c r="G61" s="8" t="str">
        <f t="shared" si="1"/>
        <v/>
      </c>
      <c r="M61" s="9" t="str">
        <f t="shared" si="3"/>
        <v/>
      </c>
    </row>
    <row r="62" spans="7:13" x14ac:dyDescent="0.3">
      <c r="G62" s="8" t="str">
        <f t="shared" si="1"/>
        <v/>
      </c>
      <c r="M62" s="9" t="str">
        <f t="shared" si="3"/>
        <v/>
      </c>
    </row>
    <row r="63" spans="7:13" x14ac:dyDescent="0.3">
      <c r="G63" s="8" t="str">
        <f t="shared" si="1"/>
        <v/>
      </c>
      <c r="M63" s="9" t="str">
        <f t="shared" si="3"/>
        <v/>
      </c>
    </row>
    <row r="64" spans="7:13" x14ac:dyDescent="0.3">
      <c r="G64" s="8" t="str">
        <f t="shared" si="1"/>
        <v/>
      </c>
      <c r="M64" s="9" t="str">
        <f t="shared" si="3"/>
        <v/>
      </c>
    </row>
    <row r="65" spans="7:13" x14ac:dyDescent="0.3">
      <c r="G65" s="8" t="str">
        <f t="shared" si="1"/>
        <v/>
      </c>
      <c r="M65" s="9" t="str">
        <f t="shared" si="3"/>
        <v/>
      </c>
    </row>
    <row r="66" spans="7:13" x14ac:dyDescent="0.3">
      <c r="G66" s="8" t="str">
        <f t="shared" si="1"/>
        <v/>
      </c>
      <c r="M66" s="9" t="str">
        <f t="shared" si="3"/>
        <v/>
      </c>
    </row>
    <row r="67" spans="7:13" x14ac:dyDescent="0.3">
      <c r="G67" s="8" t="str">
        <f t="shared" si="1"/>
        <v/>
      </c>
      <c r="M67" s="9" t="str">
        <f t="shared" si="3"/>
        <v/>
      </c>
    </row>
    <row r="68" spans="7:13" x14ac:dyDescent="0.3">
      <c r="G68" s="8" t="str">
        <f t="shared" si="1"/>
        <v/>
      </c>
      <c r="M68" s="9" t="str">
        <f t="shared" si="3"/>
        <v/>
      </c>
    </row>
    <row r="69" spans="7:13" x14ac:dyDescent="0.3">
      <c r="G69" s="8" t="str">
        <f t="shared" si="1"/>
        <v/>
      </c>
      <c r="M69" s="9" t="str">
        <f t="shared" si="3"/>
        <v/>
      </c>
    </row>
    <row r="70" spans="7:13" x14ac:dyDescent="0.3">
      <c r="G70" s="8" t="str">
        <f t="shared" si="1"/>
        <v/>
      </c>
      <c r="M70" s="9" t="str">
        <f t="shared" si="3"/>
        <v/>
      </c>
    </row>
    <row r="71" spans="7:13" x14ac:dyDescent="0.3">
      <c r="G71" s="8" t="str">
        <f t="shared" si="1"/>
        <v/>
      </c>
      <c r="M71" s="9" t="str">
        <f t="shared" si="3"/>
        <v/>
      </c>
    </row>
    <row r="72" spans="7:13" x14ac:dyDescent="0.3">
      <c r="G72" s="8" t="str">
        <f t="shared" si="1"/>
        <v/>
      </c>
      <c r="M72" s="9" t="str">
        <f t="shared" si="3"/>
        <v/>
      </c>
    </row>
    <row r="73" spans="7:13" x14ac:dyDescent="0.3">
      <c r="G73" s="8" t="str">
        <f t="shared" ref="G73:G81" si="7">IF(ISNUMBER(A73),A73,"")</f>
        <v/>
      </c>
      <c r="M73" s="9" t="str">
        <f t="shared" ref="M73:M81" si="8">IF(ISNUMBER(G73),G73,"")</f>
        <v/>
      </c>
    </row>
    <row r="74" spans="7:13" x14ac:dyDescent="0.3">
      <c r="G74" s="8" t="str">
        <f t="shared" si="7"/>
        <v/>
      </c>
      <c r="M74" s="9" t="str">
        <f t="shared" si="8"/>
        <v/>
      </c>
    </row>
    <row r="75" spans="7:13" x14ac:dyDescent="0.3">
      <c r="G75" s="8" t="str">
        <f t="shared" si="7"/>
        <v/>
      </c>
      <c r="M75" s="9" t="str">
        <f t="shared" si="8"/>
        <v/>
      </c>
    </row>
    <row r="76" spans="7:13" x14ac:dyDescent="0.3">
      <c r="G76" s="8" t="str">
        <f t="shared" si="7"/>
        <v/>
      </c>
      <c r="M76" s="9" t="str">
        <f t="shared" si="8"/>
        <v/>
      </c>
    </row>
    <row r="77" spans="7:13" x14ac:dyDescent="0.3">
      <c r="G77" s="8" t="str">
        <f t="shared" si="7"/>
        <v/>
      </c>
      <c r="M77" s="9" t="str">
        <f t="shared" si="8"/>
        <v/>
      </c>
    </row>
    <row r="78" spans="7:13" x14ac:dyDescent="0.3">
      <c r="G78" s="8" t="str">
        <f t="shared" si="7"/>
        <v/>
      </c>
      <c r="M78" s="9" t="str">
        <f t="shared" si="8"/>
        <v/>
      </c>
    </row>
    <row r="79" spans="7:13" x14ac:dyDescent="0.3">
      <c r="G79" s="8" t="str">
        <f t="shared" si="7"/>
        <v/>
      </c>
      <c r="M79" s="9" t="str">
        <f t="shared" si="8"/>
        <v/>
      </c>
    </row>
    <row r="80" spans="7:13" x14ac:dyDescent="0.3">
      <c r="G80" s="8" t="str">
        <f t="shared" si="7"/>
        <v/>
      </c>
      <c r="M80" s="9" t="str">
        <f t="shared" si="8"/>
        <v/>
      </c>
    </row>
    <row r="81" spans="7:13" x14ac:dyDescent="0.3">
      <c r="G81" s="8" t="str">
        <f t="shared" si="7"/>
        <v/>
      </c>
      <c r="M81" s="9" t="str">
        <f t="shared" si="8"/>
        <v/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"/>
  <sheetViews>
    <sheetView zoomScaleNormal="100" workbookViewId="0">
      <selection activeCell="M31" sqref="M31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5" width="9.1796875" style="2" customWidth="1"/>
    <col min="6" max="6" width="9.1796875" style="1" customWidth="1"/>
    <col min="7" max="7" width="9.1796875" style="4" customWidth="1"/>
    <col min="8" max="8" width="13.54296875" style="11" customWidth="1"/>
    <col min="9" max="12" width="9.1796875" style="4" customWidth="1"/>
    <col min="13" max="13" width="9.1796875" style="6" customWidth="1"/>
    <col min="14" max="14" width="9.1796875" style="12" customWidth="1"/>
    <col min="15" max="18" width="9.1796875" style="6" customWidth="1"/>
  </cols>
  <sheetData>
    <row r="1" spans="1:19" x14ac:dyDescent="0.3">
      <c r="A1" s="1" t="s">
        <v>54</v>
      </c>
      <c r="G1" s="3" t="s">
        <v>56</v>
      </c>
      <c r="M1" s="5" t="s">
        <v>57</v>
      </c>
    </row>
    <row r="3" spans="1:19" x14ac:dyDescent="0.3">
      <c r="A3" s="2" t="s">
        <v>0</v>
      </c>
      <c r="B3" s="10" t="s">
        <v>1</v>
      </c>
      <c r="C3" s="2" t="s">
        <v>2</v>
      </c>
      <c r="D3" s="2" t="s">
        <v>4</v>
      </c>
      <c r="E3" s="2" t="s">
        <v>6</v>
      </c>
      <c r="F3" s="1" t="s">
        <v>6</v>
      </c>
      <c r="G3" s="4" t="s">
        <v>0</v>
      </c>
      <c r="H3" s="11" t="s">
        <v>1</v>
      </c>
      <c r="I3" s="4" t="s">
        <v>2</v>
      </c>
      <c r="J3" s="4" t="s">
        <v>4</v>
      </c>
      <c r="K3" s="4" t="s">
        <v>6</v>
      </c>
      <c r="L3" s="3" t="s">
        <v>6</v>
      </c>
      <c r="M3" s="6" t="s">
        <v>0</v>
      </c>
      <c r="N3" s="12" t="s">
        <v>1</v>
      </c>
      <c r="O3" s="6" t="s">
        <v>2</v>
      </c>
      <c r="P3" s="6" t="s">
        <v>4</v>
      </c>
      <c r="Q3" s="6" t="s">
        <v>6</v>
      </c>
      <c r="R3" s="5" t="s">
        <v>6</v>
      </c>
    </row>
    <row r="4" spans="1:19" x14ac:dyDescent="0.3">
      <c r="C4" s="2" t="s">
        <v>3</v>
      </c>
      <c r="D4" s="2" t="s">
        <v>5</v>
      </c>
      <c r="E4" s="2" t="s">
        <v>7</v>
      </c>
      <c r="F4" s="1" t="s">
        <v>9</v>
      </c>
      <c r="I4" s="4" t="s">
        <v>3</v>
      </c>
      <c r="J4" s="4" t="s">
        <v>5</v>
      </c>
      <c r="K4" s="4" t="s">
        <v>7</v>
      </c>
      <c r="L4" s="3" t="s">
        <v>9</v>
      </c>
      <c r="O4" s="6" t="s">
        <v>3</v>
      </c>
      <c r="P4" s="6" t="s">
        <v>5</v>
      </c>
      <c r="Q4" s="6" t="s">
        <v>7</v>
      </c>
      <c r="R4" s="5" t="s">
        <v>9</v>
      </c>
    </row>
    <row r="5" spans="1:19" x14ac:dyDescent="0.3">
      <c r="E5" s="2" t="s">
        <v>8</v>
      </c>
      <c r="F5" s="1" t="s">
        <v>8</v>
      </c>
      <c r="K5" s="4" t="s">
        <v>8</v>
      </c>
      <c r="L5" s="3" t="s">
        <v>8</v>
      </c>
      <c r="Q5" s="6" t="s">
        <v>8</v>
      </c>
      <c r="R5" s="5" t="s">
        <v>8</v>
      </c>
    </row>
    <row r="7" spans="1:19" x14ac:dyDescent="0.3">
      <c r="A7" s="7">
        <v>28460</v>
      </c>
      <c r="B7" s="10" t="s">
        <v>58</v>
      </c>
      <c r="C7" s="2">
        <v>27.7</v>
      </c>
      <c r="D7" s="2">
        <v>4</v>
      </c>
      <c r="E7" s="2">
        <v>9.98</v>
      </c>
      <c r="F7" s="16">
        <f>E7+C7</f>
        <v>37.68</v>
      </c>
      <c r="G7" s="8">
        <f>IF(ISNUMBER(A7),A7,"")</f>
        <v>28460</v>
      </c>
      <c r="H7" s="11" t="s">
        <v>59</v>
      </c>
      <c r="I7" s="22">
        <v>9</v>
      </c>
      <c r="J7" s="4">
        <v>5</v>
      </c>
      <c r="K7" s="4">
        <v>17.989999999999998</v>
      </c>
      <c r="L7" s="17">
        <f>K7+I7</f>
        <v>26.99</v>
      </c>
      <c r="M7" s="9">
        <f>IF(ISNUMBER(G7),G7,"")</f>
        <v>28460</v>
      </c>
      <c r="N7" s="12" t="s">
        <v>60</v>
      </c>
      <c r="O7" s="6">
        <v>10.8</v>
      </c>
      <c r="P7" s="6">
        <v>6</v>
      </c>
      <c r="Q7" s="6">
        <v>22.48</v>
      </c>
      <c r="R7" s="18">
        <f t="shared" ref="R7:R12" si="0">Q7+O7</f>
        <v>33.28</v>
      </c>
    </row>
    <row r="8" spans="1:19" x14ac:dyDescent="0.3">
      <c r="A8" s="7">
        <v>29530</v>
      </c>
      <c r="B8" s="10" t="s">
        <v>58</v>
      </c>
      <c r="C8" s="2">
        <v>27</v>
      </c>
      <c r="D8" s="2">
        <v>4</v>
      </c>
      <c r="E8" s="2">
        <v>9.98</v>
      </c>
      <c r="F8" s="16">
        <f t="shared" ref="F8:F17" si="1">E8+C8</f>
        <v>36.980000000000004</v>
      </c>
      <c r="G8" s="8">
        <f t="shared" ref="G8:G73" si="2">IF(ISNUMBER(A8),A8,"")</f>
        <v>29530</v>
      </c>
      <c r="H8" s="11">
        <v>5</v>
      </c>
      <c r="I8" s="22">
        <v>25.6</v>
      </c>
      <c r="J8" s="4">
        <v>5</v>
      </c>
      <c r="K8" s="4">
        <v>0</v>
      </c>
      <c r="L8" s="17">
        <f t="shared" ref="L8:L15" si="3">K8+I8</f>
        <v>25.6</v>
      </c>
      <c r="M8" s="9">
        <f t="shared" ref="M8:M73" si="4">IF(ISNUMBER(G8),G8,"")</f>
        <v>29530</v>
      </c>
      <c r="N8" s="12">
        <v>6</v>
      </c>
      <c r="O8" s="6">
        <v>30</v>
      </c>
      <c r="P8" s="6">
        <v>6</v>
      </c>
      <c r="Q8" s="6">
        <v>0</v>
      </c>
      <c r="R8" s="18">
        <f t="shared" si="0"/>
        <v>30</v>
      </c>
    </row>
    <row r="9" spans="1:19" x14ac:dyDescent="0.3">
      <c r="A9" s="7">
        <v>31731</v>
      </c>
      <c r="B9" s="10" t="s">
        <v>58</v>
      </c>
      <c r="C9" s="2">
        <v>23.4</v>
      </c>
      <c r="D9" s="2">
        <v>4</v>
      </c>
      <c r="E9" s="2">
        <v>9.98</v>
      </c>
      <c r="F9" s="16">
        <f t="shared" si="1"/>
        <v>33.379999999999995</v>
      </c>
      <c r="G9" s="8">
        <f t="shared" si="2"/>
        <v>31731</v>
      </c>
      <c r="H9" s="11">
        <v>5</v>
      </c>
      <c r="I9" s="22">
        <v>23.1</v>
      </c>
      <c r="J9" s="4">
        <v>5</v>
      </c>
      <c r="K9" s="4">
        <v>0</v>
      </c>
      <c r="L9" s="17">
        <f t="shared" si="3"/>
        <v>23.1</v>
      </c>
      <c r="M9" s="9">
        <f t="shared" si="4"/>
        <v>31731</v>
      </c>
      <c r="N9" s="12">
        <v>6</v>
      </c>
      <c r="O9" s="6">
        <v>29.01</v>
      </c>
      <c r="P9" s="6">
        <v>6</v>
      </c>
      <c r="Q9" s="6">
        <v>0</v>
      </c>
      <c r="R9" s="18">
        <f t="shared" si="0"/>
        <v>29.01</v>
      </c>
    </row>
    <row r="10" spans="1:19" x14ac:dyDescent="0.3">
      <c r="A10" s="7">
        <v>32399</v>
      </c>
      <c r="B10" s="10" t="s">
        <v>58</v>
      </c>
      <c r="C10" s="2">
        <v>20.399999999999999</v>
      </c>
      <c r="D10" s="2">
        <v>4</v>
      </c>
      <c r="E10" s="2">
        <v>9.98</v>
      </c>
      <c r="F10" s="16">
        <f t="shared" si="1"/>
        <v>30.38</v>
      </c>
      <c r="G10" s="8">
        <f t="shared" si="2"/>
        <v>32399</v>
      </c>
      <c r="H10" s="11" t="s">
        <v>59</v>
      </c>
      <c r="I10" s="22">
        <v>5.05</v>
      </c>
      <c r="J10" s="4">
        <v>5</v>
      </c>
      <c r="K10" s="4">
        <v>17.989999999999998</v>
      </c>
      <c r="L10" s="17">
        <f t="shared" si="3"/>
        <v>23.04</v>
      </c>
      <c r="M10" s="9">
        <f t="shared" si="4"/>
        <v>32399</v>
      </c>
      <c r="N10" s="12" t="s">
        <v>60</v>
      </c>
      <c r="O10" s="6">
        <v>6.25</v>
      </c>
      <c r="P10" s="6">
        <v>6</v>
      </c>
      <c r="Q10" s="6">
        <v>22.48</v>
      </c>
      <c r="R10" s="18">
        <f t="shared" si="0"/>
        <v>28.73</v>
      </c>
    </row>
    <row r="11" spans="1:19" x14ac:dyDescent="0.3">
      <c r="A11" s="7">
        <v>32933</v>
      </c>
      <c r="F11" s="16"/>
      <c r="G11" s="8">
        <f t="shared" si="2"/>
        <v>32933</v>
      </c>
      <c r="H11" s="11" t="s">
        <v>59</v>
      </c>
      <c r="I11" s="22">
        <v>4.2</v>
      </c>
      <c r="J11" s="4">
        <v>5</v>
      </c>
      <c r="K11" s="4">
        <v>17.989999999999998</v>
      </c>
      <c r="L11" s="17">
        <f t="shared" si="3"/>
        <v>22.189999999999998</v>
      </c>
      <c r="M11" s="9">
        <f t="shared" si="4"/>
        <v>32933</v>
      </c>
      <c r="N11" s="12" t="s">
        <v>60</v>
      </c>
      <c r="O11" s="6">
        <v>4.95</v>
      </c>
      <c r="P11" s="6">
        <v>6</v>
      </c>
      <c r="Q11" s="6">
        <v>22.48</v>
      </c>
      <c r="R11" s="18">
        <f t="shared" si="0"/>
        <v>27.43</v>
      </c>
    </row>
    <row r="12" spans="1:19" x14ac:dyDescent="0.3">
      <c r="A12" s="7">
        <v>34894</v>
      </c>
      <c r="B12" s="10" t="s">
        <v>58</v>
      </c>
      <c r="C12" s="2">
        <v>20.11</v>
      </c>
      <c r="D12" s="2">
        <v>4</v>
      </c>
      <c r="E12" s="2">
        <v>9.98</v>
      </c>
      <c r="F12" s="16">
        <f t="shared" si="1"/>
        <v>30.09</v>
      </c>
      <c r="G12" s="8">
        <f t="shared" si="2"/>
        <v>34894</v>
      </c>
      <c r="H12" s="11" t="s">
        <v>59</v>
      </c>
      <c r="I12" s="22">
        <v>2.63</v>
      </c>
      <c r="J12" s="4">
        <v>5</v>
      </c>
      <c r="K12" s="4">
        <v>17.989999999999998</v>
      </c>
      <c r="L12" s="17">
        <f>K12+I12</f>
        <v>20.619999999999997</v>
      </c>
      <c r="M12" s="9">
        <f t="shared" si="4"/>
        <v>34894</v>
      </c>
      <c r="N12" s="12" t="s">
        <v>60</v>
      </c>
      <c r="O12" s="6">
        <v>4.32</v>
      </c>
      <c r="P12" s="6">
        <v>6</v>
      </c>
      <c r="Q12" s="6">
        <v>22.48</v>
      </c>
      <c r="R12" s="18">
        <f t="shared" si="0"/>
        <v>26.8</v>
      </c>
    </row>
    <row r="13" spans="1:19" x14ac:dyDescent="0.3">
      <c r="A13" s="7">
        <v>38548</v>
      </c>
      <c r="B13" s="28" t="s">
        <v>98</v>
      </c>
      <c r="C13" s="2">
        <v>17.04</v>
      </c>
      <c r="D13" s="2">
        <v>4</v>
      </c>
      <c r="E13" s="2">
        <v>9.98</v>
      </c>
      <c r="F13" s="16">
        <f t="shared" si="1"/>
        <v>27.02</v>
      </c>
      <c r="G13" s="8">
        <f t="shared" si="2"/>
        <v>38548</v>
      </c>
      <c r="H13" s="30" t="s">
        <v>100</v>
      </c>
      <c r="I13" s="22">
        <v>51.1</v>
      </c>
      <c r="J13" s="4">
        <v>5</v>
      </c>
      <c r="L13" s="17"/>
      <c r="M13" s="9">
        <f t="shared" si="4"/>
        <v>38548</v>
      </c>
      <c r="R13" s="18"/>
      <c r="S13" s="29" t="s">
        <v>99</v>
      </c>
    </row>
    <row r="14" spans="1:19" x14ac:dyDescent="0.3">
      <c r="A14" s="7">
        <v>38916</v>
      </c>
      <c r="B14" s="26" t="s">
        <v>58</v>
      </c>
      <c r="C14" s="2">
        <v>17.28</v>
      </c>
      <c r="D14" s="2">
        <v>4</v>
      </c>
      <c r="E14" s="2">
        <v>9.98</v>
      </c>
      <c r="F14" s="16">
        <f t="shared" si="1"/>
        <v>27.26</v>
      </c>
      <c r="G14" s="8">
        <f t="shared" si="2"/>
        <v>38916</v>
      </c>
      <c r="H14" s="11">
        <v>50</v>
      </c>
      <c r="I14" s="22">
        <v>50.33</v>
      </c>
      <c r="L14" s="17"/>
      <c r="M14" s="9">
        <f t="shared" si="4"/>
        <v>38916</v>
      </c>
      <c r="R14" s="18"/>
    </row>
    <row r="15" spans="1:19" x14ac:dyDescent="0.3">
      <c r="A15" s="7">
        <v>38985</v>
      </c>
      <c r="B15" s="10" t="s">
        <v>58</v>
      </c>
      <c r="C15" s="2">
        <v>17.21</v>
      </c>
      <c r="D15" s="2">
        <v>4</v>
      </c>
      <c r="E15" s="2">
        <v>9.98</v>
      </c>
      <c r="F15" s="16">
        <f t="shared" si="1"/>
        <v>27.19</v>
      </c>
      <c r="G15" s="8">
        <f t="shared" si="2"/>
        <v>38985</v>
      </c>
      <c r="H15" s="11">
        <v>5</v>
      </c>
      <c r="I15" s="22">
        <v>16.36</v>
      </c>
      <c r="J15" s="4">
        <v>5</v>
      </c>
      <c r="K15" s="4">
        <v>0</v>
      </c>
      <c r="L15" s="17">
        <f t="shared" si="3"/>
        <v>16.36</v>
      </c>
      <c r="M15" s="9">
        <f t="shared" si="4"/>
        <v>38985</v>
      </c>
    </row>
    <row r="16" spans="1:19" x14ac:dyDescent="0.3">
      <c r="A16" s="7">
        <v>40008</v>
      </c>
      <c r="B16" s="28" t="s">
        <v>58</v>
      </c>
      <c r="C16" s="20">
        <v>17.100000000000001</v>
      </c>
      <c r="D16" s="2">
        <v>4</v>
      </c>
      <c r="E16" s="2">
        <v>9.98</v>
      </c>
      <c r="F16" s="1">
        <f t="shared" si="1"/>
        <v>27.080000000000002</v>
      </c>
      <c r="G16" s="8">
        <f t="shared" si="2"/>
        <v>40008</v>
      </c>
      <c r="H16" s="11">
        <v>5</v>
      </c>
      <c r="I16" s="52">
        <v>16.307391304347824</v>
      </c>
      <c r="J16" s="4">
        <v>5</v>
      </c>
      <c r="K16" s="4">
        <v>0</v>
      </c>
      <c r="L16" s="53" t="s">
        <v>124</v>
      </c>
      <c r="M16" s="9">
        <f t="shared" si="4"/>
        <v>40008</v>
      </c>
      <c r="S16" s="29" t="s">
        <v>125</v>
      </c>
    </row>
    <row r="17" spans="1:21" x14ac:dyDescent="0.3">
      <c r="A17" s="7">
        <v>40802</v>
      </c>
      <c r="B17" s="28" t="s">
        <v>58</v>
      </c>
      <c r="C17" s="2">
        <v>16.75</v>
      </c>
      <c r="D17" s="2">
        <v>4</v>
      </c>
      <c r="E17" s="2">
        <v>9.98</v>
      </c>
      <c r="F17" s="1">
        <f t="shared" si="1"/>
        <v>26.73</v>
      </c>
      <c r="G17" s="8">
        <f t="shared" si="2"/>
        <v>40802</v>
      </c>
      <c r="H17" s="11">
        <v>5</v>
      </c>
      <c r="I17" s="22">
        <v>16.07</v>
      </c>
      <c r="J17" s="4">
        <v>5</v>
      </c>
      <c r="K17" s="4">
        <v>0</v>
      </c>
      <c r="L17" s="17">
        <f>K17+I17</f>
        <v>16.07</v>
      </c>
      <c r="M17" s="9">
        <f t="shared" si="4"/>
        <v>40802</v>
      </c>
      <c r="N17" s="12">
        <v>6</v>
      </c>
      <c r="O17" s="6">
        <v>21.32</v>
      </c>
      <c r="P17" s="6">
        <v>6</v>
      </c>
      <c r="Q17" s="6">
        <v>0</v>
      </c>
      <c r="R17" s="18">
        <f>Q17+O17</f>
        <v>21.32</v>
      </c>
    </row>
    <row r="18" spans="1:21" x14ac:dyDescent="0.3">
      <c r="A18" s="7">
        <v>41457</v>
      </c>
      <c r="B18" s="28" t="s">
        <v>58</v>
      </c>
      <c r="C18" s="2">
        <v>16.36</v>
      </c>
      <c r="D18" s="2">
        <v>4</v>
      </c>
      <c r="E18" s="2">
        <v>9.98</v>
      </c>
      <c r="F18" s="1">
        <f>E18+C18</f>
        <v>26.34</v>
      </c>
      <c r="G18" s="8">
        <f t="shared" si="2"/>
        <v>41457</v>
      </c>
      <c r="H18" s="11">
        <v>5</v>
      </c>
      <c r="I18" s="22">
        <v>16.100000000000001</v>
      </c>
      <c r="J18" s="4">
        <v>5</v>
      </c>
      <c r="K18" s="4">
        <v>0</v>
      </c>
      <c r="L18" s="17">
        <f>K18+I18</f>
        <v>16.100000000000001</v>
      </c>
      <c r="M18" s="9">
        <f t="shared" si="4"/>
        <v>41457</v>
      </c>
      <c r="R18" s="18"/>
    </row>
    <row r="19" spans="1:21" x14ac:dyDescent="0.3">
      <c r="A19" s="7">
        <v>42198</v>
      </c>
      <c r="B19" s="28" t="s">
        <v>58</v>
      </c>
      <c r="C19" s="2">
        <v>15.74</v>
      </c>
      <c r="D19" s="2">
        <v>4</v>
      </c>
      <c r="E19" s="2">
        <v>9.98</v>
      </c>
      <c r="F19" s="1">
        <f>E19+C19</f>
        <v>25.72</v>
      </c>
      <c r="G19" s="8">
        <f t="shared" si="2"/>
        <v>42198</v>
      </c>
      <c r="H19" s="11">
        <v>51</v>
      </c>
      <c r="I19" s="4">
        <v>19.37</v>
      </c>
      <c r="J19" s="4">
        <v>5</v>
      </c>
      <c r="K19" s="4">
        <v>3.53</v>
      </c>
      <c r="L19" s="50">
        <f t="shared" ref="L19:L24" si="5">I19-K19</f>
        <v>15.840000000000002</v>
      </c>
      <c r="M19" s="9">
        <f t="shared" si="4"/>
        <v>42198</v>
      </c>
      <c r="N19" s="31" t="s">
        <v>144</v>
      </c>
      <c r="O19" s="6">
        <v>19.37</v>
      </c>
      <c r="P19" s="31" t="s">
        <v>144</v>
      </c>
      <c r="Q19" s="6">
        <v>0</v>
      </c>
      <c r="R19" s="76">
        <f>Q19+O19</f>
        <v>19.37</v>
      </c>
      <c r="S19" s="29" t="s">
        <v>145</v>
      </c>
    </row>
    <row r="20" spans="1:21" x14ac:dyDescent="0.3">
      <c r="A20" s="7">
        <v>42627</v>
      </c>
      <c r="B20" s="10">
        <v>4</v>
      </c>
      <c r="C20" s="2">
        <v>25.82</v>
      </c>
      <c r="D20" s="2">
        <v>4</v>
      </c>
      <c r="E20" s="2">
        <v>0</v>
      </c>
      <c r="F20" s="75">
        <f>E20+C20</f>
        <v>25.82</v>
      </c>
      <c r="G20" s="8">
        <f t="shared" si="2"/>
        <v>42627</v>
      </c>
      <c r="H20" s="11">
        <v>50</v>
      </c>
      <c r="I20" s="11">
        <v>50.5</v>
      </c>
      <c r="J20" s="4">
        <v>5</v>
      </c>
      <c r="K20" s="4">
        <v>34.61</v>
      </c>
      <c r="L20" s="50">
        <f t="shared" si="5"/>
        <v>15.89</v>
      </c>
      <c r="M20" s="9">
        <f t="shared" si="4"/>
        <v>42627</v>
      </c>
      <c r="N20" s="31" t="s">
        <v>144</v>
      </c>
      <c r="O20" s="6">
        <v>21.76</v>
      </c>
      <c r="P20" s="31" t="s">
        <v>144</v>
      </c>
      <c r="Q20" s="6">
        <v>0</v>
      </c>
      <c r="R20" s="76">
        <f>Q20+O20</f>
        <v>21.76</v>
      </c>
      <c r="S20" s="29" t="s">
        <v>145</v>
      </c>
    </row>
    <row r="21" spans="1:21" x14ac:dyDescent="0.3">
      <c r="A21" s="7">
        <v>42905</v>
      </c>
      <c r="B21" s="28" t="s">
        <v>58</v>
      </c>
      <c r="C21" s="2">
        <v>15.5</v>
      </c>
      <c r="D21" s="2">
        <v>4</v>
      </c>
      <c r="E21" s="2">
        <v>9.98</v>
      </c>
      <c r="F21" s="1">
        <f>E21+C21</f>
        <v>25.48</v>
      </c>
      <c r="G21" s="8">
        <f t="shared" si="2"/>
        <v>42905</v>
      </c>
      <c r="H21" s="11">
        <v>51</v>
      </c>
      <c r="I21" s="4">
        <v>19.02</v>
      </c>
      <c r="J21" s="4">
        <v>5</v>
      </c>
      <c r="K21" s="4">
        <v>3.53</v>
      </c>
      <c r="L21" s="50">
        <f t="shared" si="5"/>
        <v>15.49</v>
      </c>
      <c r="M21" s="9">
        <f t="shared" si="4"/>
        <v>42905</v>
      </c>
      <c r="R21" s="76"/>
      <c r="S21" s="29" t="s">
        <v>155</v>
      </c>
      <c r="U21" s="51"/>
    </row>
    <row r="22" spans="1:21" x14ac:dyDescent="0.3">
      <c r="A22" s="7">
        <v>43745</v>
      </c>
      <c r="B22" s="28" t="s">
        <v>58</v>
      </c>
      <c r="C22" s="2">
        <v>15.3</v>
      </c>
      <c r="D22" s="2">
        <v>4</v>
      </c>
      <c r="E22" s="2">
        <v>9.98</v>
      </c>
      <c r="F22" s="1">
        <f>E22+C22</f>
        <v>25.28</v>
      </c>
      <c r="G22" s="8">
        <f t="shared" si="2"/>
        <v>43745</v>
      </c>
      <c r="H22" s="11">
        <v>51</v>
      </c>
      <c r="I22" s="22">
        <v>19</v>
      </c>
      <c r="J22" s="4">
        <v>5</v>
      </c>
      <c r="K22" s="4">
        <v>3.53</v>
      </c>
      <c r="L22" s="50">
        <f t="shared" si="5"/>
        <v>15.47</v>
      </c>
      <c r="M22" s="9">
        <f t="shared" si="4"/>
        <v>43745</v>
      </c>
      <c r="N22" s="31" t="s">
        <v>144</v>
      </c>
      <c r="O22" s="6">
        <v>20.18</v>
      </c>
      <c r="P22" s="31" t="s">
        <v>144</v>
      </c>
      <c r="Q22" s="6">
        <v>0</v>
      </c>
      <c r="R22" s="76">
        <f>Q22+O22</f>
        <v>20.18</v>
      </c>
    </row>
    <row r="23" spans="1:21" x14ac:dyDescent="0.3">
      <c r="A23" s="7">
        <v>44348</v>
      </c>
      <c r="B23" s="10" t="s">
        <v>108</v>
      </c>
      <c r="G23" s="8">
        <f t="shared" si="2"/>
        <v>44348</v>
      </c>
      <c r="H23" s="11">
        <v>51</v>
      </c>
      <c r="I23" s="4">
        <v>18.82</v>
      </c>
      <c r="J23" s="4">
        <v>5</v>
      </c>
      <c r="K23" s="4">
        <v>3.53</v>
      </c>
      <c r="L23" s="50">
        <f t="shared" si="5"/>
        <v>15.290000000000001</v>
      </c>
      <c r="M23" s="9">
        <f t="shared" si="4"/>
        <v>44348</v>
      </c>
      <c r="N23" s="31" t="s">
        <v>144</v>
      </c>
      <c r="O23" s="6">
        <v>19.670000000000002</v>
      </c>
      <c r="P23" s="31" t="s">
        <v>144</v>
      </c>
      <c r="Q23" s="6">
        <v>0</v>
      </c>
      <c r="R23" s="76">
        <f>Q23+O23</f>
        <v>19.670000000000002</v>
      </c>
      <c r="S23" s="29" t="s">
        <v>238</v>
      </c>
    </row>
    <row r="24" spans="1:21" x14ac:dyDescent="0.3">
      <c r="A24" s="7">
        <v>45485</v>
      </c>
      <c r="B24" s="10">
        <v>4</v>
      </c>
      <c r="C24" s="2">
        <v>25.17</v>
      </c>
      <c r="D24" s="2">
        <v>4</v>
      </c>
      <c r="E24" s="2">
        <v>0</v>
      </c>
      <c r="F24" s="1">
        <f>E24+C24</f>
        <v>25.17</v>
      </c>
      <c r="G24" s="8">
        <f t="shared" si="2"/>
        <v>45485</v>
      </c>
      <c r="H24" s="11">
        <v>5</v>
      </c>
      <c r="I24" s="4">
        <v>15.18</v>
      </c>
      <c r="J24" s="4">
        <v>5</v>
      </c>
      <c r="K24" s="4">
        <v>0</v>
      </c>
      <c r="L24" s="50">
        <f t="shared" si="5"/>
        <v>15.18</v>
      </c>
      <c r="M24" s="9">
        <f t="shared" si="4"/>
        <v>45485</v>
      </c>
      <c r="N24" s="31" t="s">
        <v>144</v>
      </c>
      <c r="O24" s="6">
        <v>19.61</v>
      </c>
      <c r="P24" s="31" t="s">
        <v>144</v>
      </c>
      <c r="Q24" s="6">
        <v>0</v>
      </c>
      <c r="R24" s="18">
        <f>Q24+O24</f>
        <v>19.61</v>
      </c>
    </row>
    <row r="25" spans="1:21" x14ac:dyDescent="0.3">
      <c r="G25" s="8" t="str">
        <f t="shared" si="2"/>
        <v/>
      </c>
      <c r="M25" s="9" t="str">
        <f t="shared" si="4"/>
        <v/>
      </c>
    </row>
    <row r="26" spans="1:21" x14ac:dyDescent="0.3">
      <c r="G26" s="8" t="str">
        <f t="shared" si="2"/>
        <v/>
      </c>
      <c r="M26" s="9" t="str">
        <f t="shared" si="4"/>
        <v/>
      </c>
    </row>
    <row r="27" spans="1:21" x14ac:dyDescent="0.3">
      <c r="G27" s="8" t="str">
        <f t="shared" si="2"/>
        <v/>
      </c>
      <c r="M27" s="9" t="str">
        <f t="shared" si="4"/>
        <v/>
      </c>
    </row>
    <row r="28" spans="1:21" x14ac:dyDescent="0.3">
      <c r="G28" s="8" t="str">
        <f t="shared" si="2"/>
        <v/>
      </c>
      <c r="M28" s="9" t="str">
        <f t="shared" si="4"/>
        <v/>
      </c>
    </row>
    <row r="29" spans="1:21" x14ac:dyDescent="0.3">
      <c r="G29" s="8" t="str">
        <f t="shared" si="2"/>
        <v/>
      </c>
      <c r="M29" s="9" t="str">
        <f t="shared" si="4"/>
        <v/>
      </c>
    </row>
    <row r="30" spans="1:21" x14ac:dyDescent="0.3">
      <c r="G30" s="8" t="str">
        <f t="shared" si="2"/>
        <v/>
      </c>
      <c r="M30" s="9" t="str">
        <f t="shared" si="4"/>
        <v/>
      </c>
    </row>
    <row r="31" spans="1:21" x14ac:dyDescent="0.3">
      <c r="G31" s="8" t="str">
        <f t="shared" si="2"/>
        <v/>
      </c>
      <c r="M31" s="9" t="str">
        <f t="shared" si="4"/>
        <v/>
      </c>
    </row>
    <row r="32" spans="1:21" x14ac:dyDescent="0.3">
      <c r="G32" s="8" t="str">
        <f t="shared" si="2"/>
        <v/>
      </c>
      <c r="M32" s="9" t="str">
        <f t="shared" si="4"/>
        <v/>
      </c>
    </row>
    <row r="33" spans="7:13" x14ac:dyDescent="0.3">
      <c r="G33" s="8" t="str">
        <f t="shared" si="2"/>
        <v/>
      </c>
      <c r="M33" s="9" t="str">
        <f t="shared" si="4"/>
        <v/>
      </c>
    </row>
    <row r="34" spans="7:13" x14ac:dyDescent="0.3">
      <c r="G34" s="8" t="str">
        <f t="shared" si="2"/>
        <v/>
      </c>
      <c r="M34" s="9" t="str">
        <f t="shared" si="4"/>
        <v/>
      </c>
    </row>
    <row r="35" spans="7:13" x14ac:dyDescent="0.3">
      <c r="G35" s="8" t="str">
        <f t="shared" si="2"/>
        <v/>
      </c>
      <c r="M35" s="9" t="str">
        <f t="shared" si="4"/>
        <v/>
      </c>
    </row>
    <row r="36" spans="7:13" x14ac:dyDescent="0.3">
      <c r="G36" s="8" t="str">
        <f t="shared" si="2"/>
        <v/>
      </c>
      <c r="M36" s="9" t="str">
        <f t="shared" si="4"/>
        <v/>
      </c>
    </row>
    <row r="37" spans="7:13" x14ac:dyDescent="0.3">
      <c r="G37" s="8" t="str">
        <f t="shared" si="2"/>
        <v/>
      </c>
      <c r="M37" s="9" t="str">
        <f t="shared" si="4"/>
        <v/>
      </c>
    </row>
    <row r="38" spans="7:13" x14ac:dyDescent="0.3">
      <c r="G38" s="8" t="str">
        <f t="shared" si="2"/>
        <v/>
      </c>
      <c r="M38" s="9" t="str">
        <f t="shared" si="4"/>
        <v/>
      </c>
    </row>
    <row r="39" spans="7:13" x14ac:dyDescent="0.3">
      <c r="G39" s="8" t="str">
        <f t="shared" si="2"/>
        <v/>
      </c>
      <c r="M39" s="9" t="str">
        <f t="shared" si="4"/>
        <v/>
      </c>
    </row>
    <row r="40" spans="7:13" x14ac:dyDescent="0.3">
      <c r="G40" s="8" t="str">
        <f t="shared" si="2"/>
        <v/>
      </c>
      <c r="M40" s="9" t="str">
        <f t="shared" si="4"/>
        <v/>
      </c>
    </row>
    <row r="41" spans="7:13" x14ac:dyDescent="0.3">
      <c r="G41" s="8" t="str">
        <f t="shared" si="2"/>
        <v/>
      </c>
      <c r="M41" s="9" t="str">
        <f t="shared" si="4"/>
        <v/>
      </c>
    </row>
    <row r="42" spans="7:13" x14ac:dyDescent="0.3">
      <c r="G42" s="8" t="str">
        <f t="shared" si="2"/>
        <v/>
      </c>
      <c r="M42" s="9" t="str">
        <f t="shared" si="4"/>
        <v/>
      </c>
    </row>
    <row r="43" spans="7:13" x14ac:dyDescent="0.3">
      <c r="G43" s="8" t="str">
        <f t="shared" si="2"/>
        <v/>
      </c>
      <c r="M43" s="9" t="str">
        <f t="shared" si="4"/>
        <v/>
      </c>
    </row>
    <row r="44" spans="7:13" x14ac:dyDescent="0.3">
      <c r="G44" s="8" t="str">
        <f t="shared" si="2"/>
        <v/>
      </c>
      <c r="M44" s="9" t="str">
        <f t="shared" si="4"/>
        <v/>
      </c>
    </row>
    <row r="45" spans="7:13" x14ac:dyDescent="0.3">
      <c r="G45" s="8" t="str">
        <f t="shared" si="2"/>
        <v/>
      </c>
      <c r="M45" s="9" t="str">
        <f t="shared" si="4"/>
        <v/>
      </c>
    </row>
    <row r="46" spans="7:13" x14ac:dyDescent="0.3">
      <c r="G46" s="8" t="str">
        <f t="shared" si="2"/>
        <v/>
      </c>
      <c r="M46" s="9" t="str">
        <f t="shared" si="4"/>
        <v/>
      </c>
    </row>
    <row r="47" spans="7:13" x14ac:dyDescent="0.3">
      <c r="G47" s="8" t="str">
        <f t="shared" si="2"/>
        <v/>
      </c>
      <c r="M47" s="9" t="str">
        <f t="shared" si="4"/>
        <v/>
      </c>
    </row>
    <row r="48" spans="7:13" x14ac:dyDescent="0.3">
      <c r="G48" s="8" t="str">
        <f t="shared" si="2"/>
        <v/>
      </c>
      <c r="M48" s="9" t="str">
        <f t="shared" si="4"/>
        <v/>
      </c>
    </row>
    <row r="49" spans="7:13" x14ac:dyDescent="0.3">
      <c r="G49" s="8" t="str">
        <f t="shared" si="2"/>
        <v/>
      </c>
      <c r="M49" s="9" t="str">
        <f t="shared" si="4"/>
        <v/>
      </c>
    </row>
    <row r="50" spans="7:13" x14ac:dyDescent="0.3">
      <c r="G50" s="8" t="str">
        <f t="shared" si="2"/>
        <v/>
      </c>
      <c r="M50" s="9" t="str">
        <f t="shared" si="4"/>
        <v/>
      </c>
    </row>
    <row r="51" spans="7:13" x14ac:dyDescent="0.3">
      <c r="G51" s="8" t="str">
        <f t="shared" si="2"/>
        <v/>
      </c>
      <c r="M51" s="9" t="str">
        <f t="shared" si="4"/>
        <v/>
      </c>
    </row>
    <row r="52" spans="7:13" x14ac:dyDescent="0.3">
      <c r="G52" s="8" t="str">
        <f t="shared" si="2"/>
        <v/>
      </c>
      <c r="M52" s="9" t="str">
        <f t="shared" si="4"/>
        <v/>
      </c>
    </row>
    <row r="53" spans="7:13" x14ac:dyDescent="0.3">
      <c r="G53" s="8" t="str">
        <f t="shared" si="2"/>
        <v/>
      </c>
      <c r="M53" s="9" t="str">
        <f t="shared" si="4"/>
        <v/>
      </c>
    </row>
    <row r="54" spans="7:13" x14ac:dyDescent="0.3">
      <c r="G54" s="8" t="str">
        <f t="shared" si="2"/>
        <v/>
      </c>
      <c r="M54" s="9" t="str">
        <f t="shared" si="4"/>
        <v/>
      </c>
    </row>
    <row r="55" spans="7:13" x14ac:dyDescent="0.3">
      <c r="G55" s="8" t="str">
        <f t="shared" si="2"/>
        <v/>
      </c>
      <c r="M55" s="9" t="str">
        <f t="shared" si="4"/>
        <v/>
      </c>
    </row>
    <row r="56" spans="7:13" x14ac:dyDescent="0.3">
      <c r="G56" s="8" t="str">
        <f t="shared" si="2"/>
        <v/>
      </c>
      <c r="M56" s="9" t="str">
        <f t="shared" si="4"/>
        <v/>
      </c>
    </row>
    <row r="57" spans="7:13" x14ac:dyDescent="0.3">
      <c r="G57" s="8" t="str">
        <f t="shared" si="2"/>
        <v/>
      </c>
      <c r="M57" s="9" t="str">
        <f t="shared" si="4"/>
        <v/>
      </c>
    </row>
    <row r="58" spans="7:13" x14ac:dyDescent="0.3">
      <c r="G58" s="8" t="str">
        <f t="shared" si="2"/>
        <v/>
      </c>
      <c r="M58" s="9" t="str">
        <f t="shared" si="4"/>
        <v/>
      </c>
    </row>
    <row r="59" spans="7:13" x14ac:dyDescent="0.3">
      <c r="G59" s="8" t="str">
        <f t="shared" si="2"/>
        <v/>
      </c>
      <c r="M59" s="9" t="str">
        <f t="shared" si="4"/>
        <v/>
      </c>
    </row>
    <row r="60" spans="7:13" x14ac:dyDescent="0.3">
      <c r="G60" s="8" t="str">
        <f t="shared" si="2"/>
        <v/>
      </c>
      <c r="M60" s="9" t="str">
        <f t="shared" si="4"/>
        <v/>
      </c>
    </row>
    <row r="61" spans="7:13" x14ac:dyDescent="0.3">
      <c r="G61" s="8" t="str">
        <f t="shared" si="2"/>
        <v/>
      </c>
      <c r="M61" s="9" t="str">
        <f t="shared" si="4"/>
        <v/>
      </c>
    </row>
    <row r="62" spans="7:13" x14ac:dyDescent="0.3">
      <c r="G62" s="8" t="str">
        <f t="shared" si="2"/>
        <v/>
      </c>
      <c r="M62" s="9" t="str">
        <f t="shared" si="4"/>
        <v/>
      </c>
    </row>
    <row r="63" spans="7:13" x14ac:dyDescent="0.3">
      <c r="G63" s="8" t="str">
        <f t="shared" si="2"/>
        <v/>
      </c>
      <c r="M63" s="9" t="str">
        <f t="shared" si="4"/>
        <v/>
      </c>
    </row>
    <row r="64" spans="7:13" x14ac:dyDescent="0.3">
      <c r="G64" s="8" t="str">
        <f t="shared" si="2"/>
        <v/>
      </c>
      <c r="M64" s="9" t="str">
        <f t="shared" si="4"/>
        <v/>
      </c>
    </row>
    <row r="65" spans="7:13" x14ac:dyDescent="0.3">
      <c r="G65" s="8" t="str">
        <f t="shared" si="2"/>
        <v/>
      </c>
      <c r="M65" s="9" t="str">
        <f t="shared" si="4"/>
        <v/>
      </c>
    </row>
    <row r="66" spans="7:13" x14ac:dyDescent="0.3">
      <c r="G66" s="8" t="str">
        <f t="shared" si="2"/>
        <v/>
      </c>
      <c r="M66" s="9" t="str">
        <f t="shared" si="4"/>
        <v/>
      </c>
    </row>
    <row r="67" spans="7:13" x14ac:dyDescent="0.3">
      <c r="G67" s="8" t="str">
        <f t="shared" si="2"/>
        <v/>
      </c>
      <c r="M67" s="9" t="str">
        <f t="shared" si="4"/>
        <v/>
      </c>
    </row>
    <row r="68" spans="7:13" x14ac:dyDescent="0.3">
      <c r="G68" s="8" t="str">
        <f t="shared" si="2"/>
        <v/>
      </c>
      <c r="M68" s="9" t="str">
        <f t="shared" si="4"/>
        <v/>
      </c>
    </row>
    <row r="69" spans="7:13" x14ac:dyDescent="0.3">
      <c r="G69" s="8" t="str">
        <f t="shared" si="2"/>
        <v/>
      </c>
      <c r="M69" s="9" t="str">
        <f t="shared" si="4"/>
        <v/>
      </c>
    </row>
    <row r="70" spans="7:13" x14ac:dyDescent="0.3">
      <c r="G70" s="8" t="str">
        <f t="shared" si="2"/>
        <v/>
      </c>
      <c r="M70" s="9" t="str">
        <f t="shared" si="4"/>
        <v/>
      </c>
    </row>
    <row r="71" spans="7:13" x14ac:dyDescent="0.3">
      <c r="G71" s="8" t="str">
        <f t="shared" si="2"/>
        <v/>
      </c>
      <c r="M71" s="9" t="str">
        <f t="shared" si="4"/>
        <v/>
      </c>
    </row>
    <row r="72" spans="7:13" x14ac:dyDescent="0.3">
      <c r="G72" s="8" t="str">
        <f t="shared" si="2"/>
        <v/>
      </c>
      <c r="M72" s="9" t="str">
        <f t="shared" si="4"/>
        <v/>
      </c>
    </row>
    <row r="73" spans="7:13" x14ac:dyDescent="0.3">
      <c r="G73" s="8" t="str">
        <f t="shared" si="2"/>
        <v/>
      </c>
      <c r="M73" s="9" t="str">
        <f t="shared" si="4"/>
        <v/>
      </c>
    </row>
    <row r="74" spans="7:13" x14ac:dyDescent="0.3">
      <c r="G74" s="8" t="str">
        <f t="shared" ref="G74:G82" si="6">IF(ISNUMBER(A74),A74,"")</f>
        <v/>
      </c>
      <c r="M74" s="9" t="str">
        <f t="shared" ref="M74:M82" si="7">IF(ISNUMBER(G74),G74,"")</f>
        <v/>
      </c>
    </row>
    <row r="75" spans="7:13" x14ac:dyDescent="0.3">
      <c r="G75" s="8" t="str">
        <f t="shared" si="6"/>
        <v/>
      </c>
      <c r="M75" s="9" t="str">
        <f t="shared" si="7"/>
        <v/>
      </c>
    </row>
    <row r="76" spans="7:13" x14ac:dyDescent="0.3">
      <c r="G76" s="8" t="str">
        <f t="shared" si="6"/>
        <v/>
      </c>
      <c r="M76" s="9" t="str">
        <f t="shared" si="7"/>
        <v/>
      </c>
    </row>
    <row r="77" spans="7:13" x14ac:dyDescent="0.3">
      <c r="G77" s="8" t="str">
        <f t="shared" si="6"/>
        <v/>
      </c>
      <c r="M77" s="9" t="str">
        <f t="shared" si="7"/>
        <v/>
      </c>
    </row>
    <row r="78" spans="7:13" x14ac:dyDescent="0.3">
      <c r="G78" s="8" t="str">
        <f t="shared" si="6"/>
        <v/>
      </c>
      <c r="M78" s="9" t="str">
        <f t="shared" si="7"/>
        <v/>
      </c>
    </row>
    <row r="79" spans="7:13" x14ac:dyDescent="0.3">
      <c r="G79" s="8" t="str">
        <f t="shared" si="6"/>
        <v/>
      </c>
      <c r="M79" s="9" t="str">
        <f t="shared" si="7"/>
        <v/>
      </c>
    </row>
    <row r="80" spans="7:13" x14ac:dyDescent="0.3">
      <c r="G80" s="8" t="str">
        <f t="shared" si="6"/>
        <v/>
      </c>
      <c r="M80" s="9" t="str">
        <f t="shared" si="7"/>
        <v/>
      </c>
    </row>
    <row r="81" spans="7:13" x14ac:dyDescent="0.3">
      <c r="G81" s="8" t="str">
        <f t="shared" si="6"/>
        <v/>
      </c>
      <c r="M81" s="9" t="str">
        <f t="shared" si="7"/>
        <v/>
      </c>
    </row>
    <row r="82" spans="7:13" x14ac:dyDescent="0.3">
      <c r="G82" s="8" t="str">
        <f t="shared" si="6"/>
        <v/>
      </c>
      <c r="M82" s="9" t="str">
        <f t="shared" si="7"/>
        <v/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4"/>
  <sheetViews>
    <sheetView workbookViewId="0">
      <selection activeCell="G24" sqref="G24:L29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5" width="9.1796875" style="2" customWidth="1"/>
    <col min="6" max="6" width="9.1796875" style="1" customWidth="1"/>
    <col min="7" max="7" width="9.1796875" style="4" customWidth="1"/>
    <col min="8" max="8" width="9.1796875" style="11" customWidth="1"/>
    <col min="9" max="12" width="9.1796875" style="4" customWidth="1"/>
    <col min="13" max="13" width="9.1796875" style="6" customWidth="1"/>
    <col min="14" max="14" width="9.1796875" style="12" customWidth="1"/>
    <col min="15" max="18" width="9.1796875" style="6" customWidth="1"/>
  </cols>
  <sheetData>
    <row r="1" spans="1:19" x14ac:dyDescent="0.3">
      <c r="A1" s="1" t="s">
        <v>29</v>
      </c>
      <c r="G1" s="3" t="s">
        <v>30</v>
      </c>
      <c r="M1" s="5" t="s">
        <v>31</v>
      </c>
    </row>
    <row r="3" spans="1:19" x14ac:dyDescent="0.3">
      <c r="A3" s="2" t="s">
        <v>0</v>
      </c>
      <c r="B3" s="10" t="s">
        <v>1</v>
      </c>
      <c r="C3" s="2" t="s">
        <v>2</v>
      </c>
      <c r="D3" s="2" t="s">
        <v>4</v>
      </c>
      <c r="E3" s="2" t="s">
        <v>6</v>
      </c>
      <c r="F3" s="1" t="s">
        <v>6</v>
      </c>
      <c r="G3" s="4" t="s">
        <v>0</v>
      </c>
      <c r="H3" s="11" t="s">
        <v>1</v>
      </c>
      <c r="I3" s="4" t="s">
        <v>2</v>
      </c>
      <c r="J3" s="4" t="s">
        <v>4</v>
      </c>
      <c r="K3" s="4" t="s">
        <v>6</v>
      </c>
      <c r="L3" s="3" t="s">
        <v>6</v>
      </c>
      <c r="M3" s="6" t="s">
        <v>0</v>
      </c>
      <c r="N3" s="12" t="s">
        <v>1</v>
      </c>
      <c r="O3" s="6" t="s">
        <v>2</v>
      </c>
      <c r="P3" s="6" t="s">
        <v>4</v>
      </c>
      <c r="Q3" s="6" t="s">
        <v>6</v>
      </c>
      <c r="R3" s="5" t="s">
        <v>6</v>
      </c>
    </row>
    <row r="4" spans="1:19" x14ac:dyDescent="0.3">
      <c r="C4" s="2" t="s">
        <v>3</v>
      </c>
      <c r="D4" s="2" t="s">
        <v>5</v>
      </c>
      <c r="E4" s="2" t="s">
        <v>7</v>
      </c>
      <c r="F4" s="1" t="s">
        <v>9</v>
      </c>
      <c r="I4" s="4" t="s">
        <v>3</v>
      </c>
      <c r="J4" s="4" t="s">
        <v>5</v>
      </c>
      <c r="K4" s="4" t="s">
        <v>7</v>
      </c>
      <c r="L4" s="3" t="s">
        <v>9</v>
      </c>
      <c r="O4" s="6" t="s">
        <v>3</v>
      </c>
      <c r="P4" s="6" t="s">
        <v>5</v>
      </c>
      <c r="Q4" s="6" t="s">
        <v>7</v>
      </c>
      <c r="R4" s="5" t="s">
        <v>9</v>
      </c>
    </row>
    <row r="5" spans="1:19" x14ac:dyDescent="0.3">
      <c r="E5" s="2" t="s">
        <v>8</v>
      </c>
      <c r="F5" s="1" t="s">
        <v>8</v>
      </c>
      <c r="K5" s="4" t="s">
        <v>8</v>
      </c>
      <c r="L5" s="3" t="s">
        <v>8</v>
      </c>
      <c r="Q5" s="6" t="s">
        <v>8</v>
      </c>
      <c r="R5" s="5" t="s">
        <v>8</v>
      </c>
    </row>
    <row r="7" spans="1:19" x14ac:dyDescent="0.3">
      <c r="A7" s="7">
        <v>31959</v>
      </c>
      <c r="B7" s="10" t="s">
        <v>32</v>
      </c>
      <c r="C7" s="20">
        <v>3</v>
      </c>
      <c r="D7" s="2">
        <v>1</v>
      </c>
      <c r="E7" s="2">
        <v>55.03</v>
      </c>
      <c r="F7" s="16">
        <f>E7+C7</f>
        <v>58.03</v>
      </c>
      <c r="G7" s="8">
        <f>IF(ISNUMBER(A7),A7,"")</f>
        <v>31959</v>
      </c>
      <c r="H7" s="11" t="s">
        <v>62</v>
      </c>
      <c r="I7" s="22">
        <v>0.9</v>
      </c>
      <c r="J7" s="4">
        <v>2</v>
      </c>
      <c r="K7" s="4">
        <f>25.05+35.91</f>
        <v>60.959999999999994</v>
      </c>
      <c r="L7" s="17">
        <f>K7+I7</f>
        <v>61.859999999999992</v>
      </c>
      <c r="M7" s="9">
        <f>IF(ISNUMBER(G7),G7,"")</f>
        <v>31959</v>
      </c>
      <c r="N7" s="12" t="s">
        <v>35</v>
      </c>
      <c r="O7" s="23">
        <v>6.4</v>
      </c>
      <c r="P7" s="6">
        <v>3</v>
      </c>
      <c r="Q7" s="6">
        <v>59</v>
      </c>
      <c r="R7" s="18">
        <f>Q7+O7</f>
        <v>65.400000000000006</v>
      </c>
    </row>
    <row r="8" spans="1:19" x14ac:dyDescent="0.3">
      <c r="A8" s="7">
        <v>33012</v>
      </c>
      <c r="B8" s="10" t="s">
        <v>32</v>
      </c>
      <c r="C8" s="20">
        <v>2.5</v>
      </c>
      <c r="D8" s="2">
        <v>1</v>
      </c>
      <c r="E8" s="2">
        <v>55.03</v>
      </c>
      <c r="F8" s="16">
        <f t="shared" ref="F8:F20" si="0">E8+C8</f>
        <v>57.53</v>
      </c>
      <c r="G8" s="8">
        <f t="shared" ref="G8:G75" si="1">IF(ISNUMBER(A8),A8,"")</f>
        <v>33012</v>
      </c>
      <c r="H8" s="11" t="s">
        <v>63</v>
      </c>
      <c r="I8" s="22">
        <v>0.73</v>
      </c>
      <c r="J8" s="4">
        <v>2</v>
      </c>
      <c r="K8" s="4">
        <f>25.05+31.25</f>
        <v>56.3</v>
      </c>
      <c r="L8" s="17">
        <f t="shared" ref="L8:L23" si="2">K8+I8</f>
        <v>57.029999999999994</v>
      </c>
      <c r="M8" s="9">
        <f t="shared" ref="M8:M75" si="3">IF(ISNUMBER(G8),G8,"")</f>
        <v>33012</v>
      </c>
      <c r="N8" s="12" t="s">
        <v>35</v>
      </c>
      <c r="O8" s="23">
        <v>0.11</v>
      </c>
      <c r="P8" s="6">
        <v>3</v>
      </c>
      <c r="Q8" s="6">
        <v>59</v>
      </c>
      <c r="R8" s="18">
        <f t="shared" ref="R8:R23" si="4">Q8+O8</f>
        <v>59.11</v>
      </c>
    </row>
    <row r="9" spans="1:19" x14ac:dyDescent="0.3">
      <c r="A9" s="7">
        <v>34114</v>
      </c>
      <c r="B9" s="10" t="s">
        <v>61</v>
      </c>
      <c r="C9" s="20">
        <v>10.8</v>
      </c>
      <c r="D9" s="2">
        <v>1</v>
      </c>
      <c r="E9" s="2">
        <v>40.090000000000003</v>
      </c>
      <c r="F9" s="16">
        <f t="shared" si="0"/>
        <v>50.89</v>
      </c>
      <c r="G9" s="8">
        <f t="shared" si="1"/>
        <v>34114</v>
      </c>
      <c r="H9" s="11" t="s">
        <v>64</v>
      </c>
      <c r="I9" s="22">
        <v>13.18</v>
      </c>
      <c r="J9" s="4">
        <v>2</v>
      </c>
      <c r="K9" s="4">
        <f>24.5+8.41</f>
        <v>32.909999999999997</v>
      </c>
      <c r="L9" s="17">
        <f t="shared" si="2"/>
        <v>46.089999999999996</v>
      </c>
      <c r="M9" s="9">
        <f t="shared" si="3"/>
        <v>34114</v>
      </c>
      <c r="N9" s="12">
        <v>3</v>
      </c>
      <c r="O9" s="23">
        <v>49.74</v>
      </c>
      <c r="P9" s="6">
        <v>3</v>
      </c>
      <c r="Q9" s="6">
        <v>0</v>
      </c>
      <c r="R9" s="18">
        <f t="shared" si="4"/>
        <v>49.74</v>
      </c>
    </row>
    <row r="10" spans="1:19" x14ac:dyDescent="0.3">
      <c r="A10" s="7">
        <v>34897</v>
      </c>
      <c r="C10" s="20"/>
      <c r="F10" s="16"/>
      <c r="G10" s="8">
        <f t="shared" si="1"/>
        <v>34897</v>
      </c>
      <c r="H10" s="11" t="s">
        <v>65</v>
      </c>
      <c r="I10" s="22">
        <v>17.989999999999998</v>
      </c>
      <c r="J10" s="4">
        <v>2</v>
      </c>
      <c r="K10" s="4">
        <v>25.05</v>
      </c>
      <c r="L10" s="17">
        <f t="shared" si="2"/>
        <v>43.04</v>
      </c>
      <c r="M10" s="9">
        <f t="shared" si="3"/>
        <v>34897</v>
      </c>
      <c r="N10" s="12">
        <v>30</v>
      </c>
      <c r="O10" s="23">
        <v>94.52</v>
      </c>
      <c r="P10" s="6">
        <v>3</v>
      </c>
      <c r="Q10" s="6">
        <v>-46.28</v>
      </c>
      <c r="R10" s="18">
        <f t="shared" si="4"/>
        <v>48.239999999999995</v>
      </c>
    </row>
    <row r="11" spans="1:19" x14ac:dyDescent="0.3">
      <c r="A11" s="7">
        <v>35656</v>
      </c>
      <c r="B11" s="10">
        <v>1</v>
      </c>
      <c r="C11" s="20">
        <v>50.83</v>
      </c>
      <c r="D11" s="2">
        <v>1</v>
      </c>
      <c r="E11" s="2">
        <v>0</v>
      </c>
      <c r="F11" s="16">
        <f t="shared" si="0"/>
        <v>50.83</v>
      </c>
      <c r="G11" s="8">
        <f t="shared" si="1"/>
        <v>35656</v>
      </c>
      <c r="H11" s="11">
        <v>2</v>
      </c>
      <c r="I11" s="22">
        <v>39</v>
      </c>
      <c r="J11" s="4">
        <v>2</v>
      </c>
      <c r="K11" s="4">
        <v>0</v>
      </c>
      <c r="L11" s="17">
        <f t="shared" si="2"/>
        <v>39</v>
      </c>
      <c r="M11" s="9">
        <f t="shared" si="3"/>
        <v>35656</v>
      </c>
      <c r="N11" s="12">
        <v>3</v>
      </c>
      <c r="O11" s="23">
        <v>42.7</v>
      </c>
      <c r="P11" s="6">
        <v>3</v>
      </c>
      <c r="Q11" s="6">
        <v>0</v>
      </c>
      <c r="R11" s="18">
        <f t="shared" si="4"/>
        <v>42.7</v>
      </c>
    </row>
    <row r="12" spans="1:19" x14ac:dyDescent="0.3">
      <c r="A12" s="7">
        <v>36350</v>
      </c>
      <c r="B12" s="10">
        <v>1</v>
      </c>
      <c r="C12" s="20">
        <v>50.43</v>
      </c>
      <c r="D12" s="2">
        <v>1</v>
      </c>
      <c r="E12" s="2">
        <v>0</v>
      </c>
      <c r="F12" s="16">
        <f t="shared" si="0"/>
        <v>50.43</v>
      </c>
      <c r="G12" s="8">
        <f t="shared" si="1"/>
        <v>36350</v>
      </c>
      <c r="H12" s="11" t="s">
        <v>66</v>
      </c>
      <c r="I12" s="22">
        <v>11.83</v>
      </c>
      <c r="J12" s="4">
        <v>2</v>
      </c>
      <c r="K12" s="4">
        <v>24.5</v>
      </c>
      <c r="L12" s="17">
        <f t="shared" si="2"/>
        <v>36.33</v>
      </c>
      <c r="M12" s="9">
        <f t="shared" si="3"/>
        <v>36350</v>
      </c>
      <c r="N12" s="12">
        <v>30</v>
      </c>
      <c r="O12" s="23">
        <v>86.47</v>
      </c>
      <c r="P12" s="6">
        <v>3</v>
      </c>
      <c r="Q12" s="6">
        <v>-46.28</v>
      </c>
      <c r="R12" s="18">
        <f t="shared" si="4"/>
        <v>40.19</v>
      </c>
    </row>
    <row r="13" spans="1:19" x14ac:dyDescent="0.3">
      <c r="A13" s="7">
        <v>36713</v>
      </c>
      <c r="B13" s="10">
        <v>1</v>
      </c>
      <c r="C13" s="20">
        <v>47.64</v>
      </c>
      <c r="D13" s="2">
        <v>1</v>
      </c>
      <c r="E13" s="2">
        <v>0</v>
      </c>
      <c r="F13" s="16">
        <f t="shared" si="0"/>
        <v>47.64</v>
      </c>
      <c r="G13" s="8">
        <f t="shared" si="1"/>
        <v>36713</v>
      </c>
      <c r="H13" s="11" t="s">
        <v>65</v>
      </c>
      <c r="I13" s="22">
        <v>6.02</v>
      </c>
      <c r="J13" s="4">
        <v>2</v>
      </c>
      <c r="K13" s="4">
        <v>25.05</v>
      </c>
      <c r="L13" s="17">
        <f t="shared" si="2"/>
        <v>31.07</v>
      </c>
      <c r="M13" s="9">
        <f t="shared" si="3"/>
        <v>36713</v>
      </c>
      <c r="N13" s="12">
        <v>30</v>
      </c>
      <c r="O13" s="23">
        <v>81.260000000000005</v>
      </c>
      <c r="P13" s="6">
        <v>3</v>
      </c>
      <c r="Q13" s="6">
        <v>-46.28</v>
      </c>
      <c r="R13" s="18">
        <f t="shared" si="4"/>
        <v>34.980000000000004</v>
      </c>
    </row>
    <row r="14" spans="1:19" x14ac:dyDescent="0.3">
      <c r="A14" s="7">
        <v>37078</v>
      </c>
      <c r="B14" s="10">
        <v>1</v>
      </c>
      <c r="C14" s="20">
        <v>47.01</v>
      </c>
      <c r="D14" s="2">
        <v>1</v>
      </c>
      <c r="E14" s="2">
        <v>0</v>
      </c>
      <c r="F14" s="16">
        <f t="shared" si="0"/>
        <v>47.01</v>
      </c>
      <c r="G14" s="8">
        <f t="shared" si="1"/>
        <v>37078</v>
      </c>
      <c r="H14" s="30" t="s">
        <v>65</v>
      </c>
      <c r="I14" s="22">
        <v>2.98</v>
      </c>
      <c r="J14" s="4">
        <v>2</v>
      </c>
      <c r="K14" s="4">
        <v>25.05</v>
      </c>
      <c r="L14" s="17">
        <f t="shared" si="2"/>
        <v>28.03</v>
      </c>
      <c r="M14" s="9">
        <f t="shared" si="3"/>
        <v>37078</v>
      </c>
      <c r="N14" s="31" t="s">
        <v>101</v>
      </c>
      <c r="O14" s="23">
        <v>0.3</v>
      </c>
      <c r="P14" s="6">
        <v>3</v>
      </c>
      <c r="R14" s="18"/>
      <c r="S14" s="29" t="s">
        <v>102</v>
      </c>
    </row>
    <row r="15" spans="1:19" x14ac:dyDescent="0.3">
      <c r="A15" s="7">
        <v>37818</v>
      </c>
      <c r="B15" s="10">
        <v>1</v>
      </c>
      <c r="C15" s="20">
        <v>47</v>
      </c>
      <c r="D15" s="2">
        <v>1</v>
      </c>
      <c r="E15" s="2">
        <v>0</v>
      </c>
      <c r="F15" s="16">
        <f t="shared" si="0"/>
        <v>47</v>
      </c>
      <c r="G15" s="8">
        <f t="shared" si="1"/>
        <v>37818</v>
      </c>
      <c r="H15" s="11" t="s">
        <v>65</v>
      </c>
      <c r="I15" s="22">
        <v>0.1</v>
      </c>
      <c r="J15" s="4">
        <v>2</v>
      </c>
      <c r="K15" s="4">
        <v>25.05</v>
      </c>
      <c r="L15" s="17">
        <f t="shared" si="2"/>
        <v>25.150000000000002</v>
      </c>
      <c r="M15" s="9">
        <f t="shared" si="3"/>
        <v>37818</v>
      </c>
      <c r="N15" s="12">
        <v>3</v>
      </c>
      <c r="O15" s="23">
        <v>29.2</v>
      </c>
      <c r="P15" s="6">
        <v>3</v>
      </c>
      <c r="Q15" s="6">
        <v>0</v>
      </c>
      <c r="R15" s="18">
        <f t="shared" si="4"/>
        <v>29.2</v>
      </c>
    </row>
    <row r="16" spans="1:19" x14ac:dyDescent="0.3">
      <c r="A16" s="7">
        <v>38187</v>
      </c>
      <c r="B16" s="10">
        <v>1</v>
      </c>
      <c r="C16" s="20">
        <v>47</v>
      </c>
      <c r="D16" s="2">
        <v>1</v>
      </c>
      <c r="E16" s="2">
        <v>0</v>
      </c>
      <c r="F16" s="16">
        <f t="shared" si="0"/>
        <v>47</v>
      </c>
      <c r="G16" s="8">
        <f t="shared" si="1"/>
        <v>38187</v>
      </c>
      <c r="H16" s="11">
        <v>2</v>
      </c>
      <c r="I16" s="22">
        <v>23.8</v>
      </c>
      <c r="J16" s="4">
        <v>2</v>
      </c>
      <c r="K16" s="4">
        <v>0</v>
      </c>
      <c r="L16" s="17">
        <f t="shared" si="2"/>
        <v>23.8</v>
      </c>
      <c r="M16" s="9">
        <f t="shared" si="3"/>
        <v>38187</v>
      </c>
      <c r="N16" s="12">
        <v>3</v>
      </c>
      <c r="O16" s="23">
        <v>26.95</v>
      </c>
      <c r="P16" s="6">
        <v>3</v>
      </c>
      <c r="Q16" s="6">
        <v>0</v>
      </c>
      <c r="R16" s="18">
        <f t="shared" si="4"/>
        <v>26.95</v>
      </c>
    </row>
    <row r="17" spans="1:19" x14ac:dyDescent="0.3">
      <c r="A17" s="7">
        <v>38917</v>
      </c>
      <c r="B17" s="10">
        <v>1</v>
      </c>
      <c r="C17" s="20">
        <v>47.01</v>
      </c>
      <c r="D17" s="2">
        <v>1</v>
      </c>
      <c r="E17" s="2">
        <v>0</v>
      </c>
      <c r="F17" s="16">
        <f t="shared" si="0"/>
        <v>47.01</v>
      </c>
      <c r="G17" s="8">
        <f t="shared" si="1"/>
        <v>38917</v>
      </c>
      <c r="H17" s="11">
        <v>2</v>
      </c>
      <c r="I17" s="22">
        <v>21.61</v>
      </c>
      <c r="J17" s="4">
        <v>2</v>
      </c>
      <c r="K17" s="4">
        <v>0</v>
      </c>
      <c r="L17" s="17">
        <f t="shared" si="2"/>
        <v>21.61</v>
      </c>
      <c r="M17" s="9">
        <f t="shared" si="3"/>
        <v>38917</v>
      </c>
      <c r="N17" s="27" t="s">
        <v>87</v>
      </c>
      <c r="O17" s="23">
        <v>27.06</v>
      </c>
      <c r="P17" s="6">
        <v>3</v>
      </c>
      <c r="Q17" s="6">
        <v>0</v>
      </c>
      <c r="R17" s="18">
        <f t="shared" si="4"/>
        <v>27.06</v>
      </c>
      <c r="S17" s="24" t="s">
        <v>88</v>
      </c>
    </row>
    <row r="18" spans="1:19" x14ac:dyDescent="0.3">
      <c r="A18" s="7">
        <v>38986</v>
      </c>
      <c r="B18" s="10">
        <v>1</v>
      </c>
      <c r="C18" s="20">
        <v>47</v>
      </c>
      <c r="D18" s="2">
        <v>1</v>
      </c>
      <c r="E18" s="2">
        <v>0</v>
      </c>
      <c r="F18" s="16">
        <f t="shared" si="0"/>
        <v>47</v>
      </c>
      <c r="G18" s="8">
        <f t="shared" si="1"/>
        <v>38986</v>
      </c>
      <c r="H18" s="11">
        <v>2</v>
      </c>
      <c r="I18" s="22">
        <v>20.51</v>
      </c>
      <c r="J18" s="4">
        <v>2</v>
      </c>
      <c r="K18" s="4">
        <v>0</v>
      </c>
      <c r="L18" s="17">
        <f t="shared" si="2"/>
        <v>20.51</v>
      </c>
      <c r="M18" s="9">
        <f t="shared" si="3"/>
        <v>38986</v>
      </c>
      <c r="N18" s="12">
        <v>3</v>
      </c>
      <c r="O18" s="23">
        <v>22.6</v>
      </c>
      <c r="P18" s="6">
        <v>3</v>
      </c>
      <c r="Q18" s="6">
        <v>0</v>
      </c>
      <c r="R18" s="18">
        <f t="shared" si="4"/>
        <v>22.6</v>
      </c>
    </row>
    <row r="19" spans="1:19" x14ac:dyDescent="0.3">
      <c r="A19" s="7">
        <v>39774</v>
      </c>
      <c r="B19" s="10">
        <v>1</v>
      </c>
      <c r="C19" s="20">
        <v>46.7</v>
      </c>
      <c r="D19" s="2">
        <v>1</v>
      </c>
      <c r="E19" s="2">
        <v>0</v>
      </c>
      <c r="F19" s="16">
        <f t="shared" si="0"/>
        <v>46.7</v>
      </c>
      <c r="G19" s="8">
        <f t="shared" si="1"/>
        <v>39774</v>
      </c>
      <c r="H19" s="11">
        <v>2</v>
      </c>
      <c r="I19" s="22">
        <v>19.899999999999999</v>
      </c>
      <c r="J19" s="4">
        <v>2</v>
      </c>
      <c r="K19" s="4">
        <v>0</v>
      </c>
      <c r="L19" s="17">
        <f t="shared" si="2"/>
        <v>19.899999999999999</v>
      </c>
      <c r="M19" s="9">
        <f t="shared" si="3"/>
        <v>39774</v>
      </c>
      <c r="N19" s="12">
        <v>3</v>
      </c>
      <c r="O19" s="23">
        <v>22.61</v>
      </c>
      <c r="P19" s="6">
        <v>3</v>
      </c>
      <c r="Q19" s="6">
        <v>0</v>
      </c>
      <c r="R19" s="18">
        <f t="shared" si="4"/>
        <v>22.61</v>
      </c>
    </row>
    <row r="20" spans="1:19" x14ac:dyDescent="0.3">
      <c r="A20" s="7">
        <v>40009</v>
      </c>
      <c r="B20" s="26" t="s">
        <v>86</v>
      </c>
      <c r="C20" s="20">
        <v>46.7</v>
      </c>
      <c r="D20" s="2">
        <v>1</v>
      </c>
      <c r="E20" s="2">
        <v>0</v>
      </c>
      <c r="F20" s="16">
        <f t="shared" si="0"/>
        <v>46.7</v>
      </c>
      <c r="G20" s="8">
        <f t="shared" si="1"/>
        <v>40009</v>
      </c>
      <c r="H20" s="11">
        <v>2</v>
      </c>
      <c r="I20" s="22">
        <v>19.62</v>
      </c>
      <c r="J20" s="4">
        <v>2</v>
      </c>
      <c r="K20" s="4">
        <v>0</v>
      </c>
      <c r="L20" s="17">
        <f t="shared" si="2"/>
        <v>19.62</v>
      </c>
      <c r="M20" s="9">
        <f t="shared" si="3"/>
        <v>40009</v>
      </c>
      <c r="N20" s="12">
        <v>3</v>
      </c>
      <c r="O20" s="23">
        <v>22.41</v>
      </c>
      <c r="P20" s="6">
        <v>3</v>
      </c>
      <c r="Q20" s="6">
        <v>0</v>
      </c>
      <c r="R20" s="18">
        <f t="shared" si="4"/>
        <v>22.41</v>
      </c>
      <c r="S20" s="24" t="s">
        <v>93</v>
      </c>
    </row>
    <row r="21" spans="1:19" x14ac:dyDescent="0.3">
      <c r="A21" s="7">
        <v>40379</v>
      </c>
      <c r="G21" s="8">
        <f t="shared" si="1"/>
        <v>40379</v>
      </c>
      <c r="H21" s="11">
        <v>2</v>
      </c>
      <c r="I21" s="22">
        <v>19.73</v>
      </c>
      <c r="J21" s="4">
        <v>2</v>
      </c>
      <c r="K21" s="4">
        <v>0</v>
      </c>
      <c r="L21" s="32">
        <f t="shared" si="2"/>
        <v>19.73</v>
      </c>
      <c r="M21" s="9">
        <f t="shared" si="3"/>
        <v>40379</v>
      </c>
      <c r="N21" s="12">
        <v>3</v>
      </c>
      <c r="O21" s="6">
        <v>22.52</v>
      </c>
      <c r="P21" s="6">
        <v>3</v>
      </c>
      <c r="Q21" s="6">
        <v>0</v>
      </c>
      <c r="R21" s="33">
        <f t="shared" si="4"/>
        <v>22.52</v>
      </c>
      <c r="S21" s="29" t="s">
        <v>114</v>
      </c>
    </row>
    <row r="22" spans="1:19" x14ac:dyDescent="0.3">
      <c r="A22" s="7">
        <v>40737</v>
      </c>
      <c r="B22" s="10">
        <v>1</v>
      </c>
      <c r="C22" s="60">
        <v>48.37</v>
      </c>
      <c r="D22" s="2">
        <v>1</v>
      </c>
      <c r="E22" s="2">
        <v>0</v>
      </c>
      <c r="F22" s="57">
        <v>48.37</v>
      </c>
      <c r="G22" s="8">
        <f t="shared" si="1"/>
        <v>40737</v>
      </c>
      <c r="H22" s="11">
        <v>2</v>
      </c>
      <c r="I22" s="22">
        <v>19.600000000000001</v>
      </c>
      <c r="J22" s="4">
        <v>2</v>
      </c>
      <c r="K22" s="4">
        <v>0</v>
      </c>
      <c r="L22" s="50">
        <f t="shared" si="2"/>
        <v>19.600000000000001</v>
      </c>
      <c r="M22" s="9">
        <f t="shared" si="3"/>
        <v>40737</v>
      </c>
      <c r="N22" s="12">
        <v>3</v>
      </c>
      <c r="O22" s="6">
        <v>21.99</v>
      </c>
      <c r="P22" s="6">
        <v>3</v>
      </c>
      <c r="Q22" s="6">
        <v>0</v>
      </c>
      <c r="R22" s="33">
        <f t="shared" si="4"/>
        <v>21.99</v>
      </c>
      <c r="S22" s="35" t="s">
        <v>120</v>
      </c>
    </row>
    <row r="23" spans="1:19" x14ac:dyDescent="0.3">
      <c r="A23" s="7">
        <v>41199</v>
      </c>
      <c r="B23" s="10">
        <v>1</v>
      </c>
      <c r="C23" s="56">
        <v>32.299999999999997</v>
      </c>
      <c r="D23" s="2">
        <v>1</v>
      </c>
      <c r="E23" s="2">
        <v>0</v>
      </c>
      <c r="F23" s="55">
        <f>E23+C23</f>
        <v>32.299999999999997</v>
      </c>
      <c r="G23" s="8">
        <f t="shared" si="1"/>
        <v>41199</v>
      </c>
      <c r="H23" s="11">
        <v>2</v>
      </c>
      <c r="I23" s="22">
        <v>19.52</v>
      </c>
      <c r="J23" s="4">
        <v>2</v>
      </c>
      <c r="K23" s="4">
        <v>0</v>
      </c>
      <c r="L23" s="32">
        <f t="shared" si="2"/>
        <v>19.52</v>
      </c>
      <c r="M23" s="9">
        <f t="shared" si="3"/>
        <v>41199</v>
      </c>
      <c r="N23" s="12">
        <v>3</v>
      </c>
      <c r="O23" s="6">
        <v>21.77</v>
      </c>
      <c r="P23" s="6">
        <v>3</v>
      </c>
      <c r="Q23" s="6">
        <v>0</v>
      </c>
      <c r="R23" s="33">
        <f t="shared" si="4"/>
        <v>21.77</v>
      </c>
      <c r="S23" s="29" t="s">
        <v>131</v>
      </c>
    </row>
    <row r="24" spans="1:19" x14ac:dyDescent="0.3">
      <c r="A24" s="7">
        <v>41459</v>
      </c>
      <c r="B24" s="10">
        <v>1</v>
      </c>
      <c r="C24" s="58">
        <v>46.67</v>
      </c>
      <c r="D24" s="2">
        <v>1</v>
      </c>
      <c r="E24" s="2">
        <v>0</v>
      </c>
      <c r="F24" s="59">
        <f>E24+C24</f>
        <v>46.67</v>
      </c>
      <c r="G24" s="8">
        <f t="shared" si="1"/>
        <v>41459</v>
      </c>
      <c r="H24" s="11">
        <v>2</v>
      </c>
      <c r="I24" s="22">
        <v>19.37</v>
      </c>
      <c r="J24" s="4">
        <v>2</v>
      </c>
      <c r="K24" s="4">
        <v>0</v>
      </c>
      <c r="L24" s="32">
        <f t="shared" ref="L24:L31" si="5">K24+I24</f>
        <v>19.37</v>
      </c>
      <c r="M24" s="9">
        <f t="shared" si="3"/>
        <v>41459</v>
      </c>
      <c r="N24" s="12">
        <v>3</v>
      </c>
      <c r="O24" s="6">
        <v>21.59</v>
      </c>
      <c r="P24" s="6">
        <v>3</v>
      </c>
      <c r="Q24" s="6">
        <v>0</v>
      </c>
      <c r="R24" s="33">
        <f t="shared" ref="R24:R31" si="6">Q24+O24</f>
        <v>21.59</v>
      </c>
    </row>
    <row r="25" spans="1:19" x14ac:dyDescent="0.3">
      <c r="A25" s="7">
        <v>41828</v>
      </c>
      <c r="B25" s="10">
        <v>1</v>
      </c>
      <c r="C25" s="2">
        <v>47.16</v>
      </c>
      <c r="D25" s="2">
        <v>1</v>
      </c>
      <c r="E25" s="2">
        <v>0</v>
      </c>
      <c r="F25" s="59">
        <f>E25+C25</f>
        <v>47.16</v>
      </c>
      <c r="G25" s="8">
        <f t="shared" si="1"/>
        <v>41828</v>
      </c>
      <c r="H25" s="11">
        <v>2</v>
      </c>
      <c r="I25" s="22">
        <v>19.5</v>
      </c>
      <c r="J25" s="4">
        <v>2</v>
      </c>
      <c r="K25" s="4">
        <v>0</v>
      </c>
      <c r="L25" s="50">
        <f t="shared" si="5"/>
        <v>19.5</v>
      </c>
      <c r="M25" s="9">
        <f t="shared" si="3"/>
        <v>41828</v>
      </c>
      <c r="N25" s="12">
        <v>3</v>
      </c>
      <c r="O25" s="6">
        <v>21.56</v>
      </c>
      <c r="P25" s="6">
        <v>3</v>
      </c>
      <c r="Q25" s="6">
        <v>0</v>
      </c>
      <c r="R25" s="33">
        <f t="shared" si="6"/>
        <v>21.56</v>
      </c>
      <c r="S25" s="29" t="s">
        <v>138</v>
      </c>
    </row>
    <row r="26" spans="1:19" x14ac:dyDescent="0.3">
      <c r="A26" s="7">
        <v>42198</v>
      </c>
      <c r="B26" s="10">
        <v>1</v>
      </c>
      <c r="C26" s="2">
        <v>47.09</v>
      </c>
      <c r="D26" s="2">
        <v>1</v>
      </c>
      <c r="E26" s="2">
        <v>0</v>
      </c>
      <c r="F26" s="59">
        <f>E26+C26</f>
        <v>47.09</v>
      </c>
      <c r="G26" s="8">
        <f t="shared" si="1"/>
        <v>42198</v>
      </c>
      <c r="H26" s="11">
        <v>2</v>
      </c>
      <c r="I26" s="22">
        <v>19.38</v>
      </c>
      <c r="J26" s="4">
        <v>2</v>
      </c>
      <c r="K26" s="4">
        <v>0</v>
      </c>
      <c r="L26" s="50">
        <f t="shared" si="5"/>
        <v>19.38</v>
      </c>
      <c r="M26" s="9">
        <f t="shared" si="3"/>
        <v>42198</v>
      </c>
      <c r="N26" s="12">
        <v>3</v>
      </c>
      <c r="O26" s="6">
        <v>21.52</v>
      </c>
      <c r="P26" s="6">
        <v>3</v>
      </c>
      <c r="Q26" s="6">
        <v>0</v>
      </c>
      <c r="R26" s="33">
        <f t="shared" si="6"/>
        <v>21.52</v>
      </c>
      <c r="S26" s="29" t="s">
        <v>138</v>
      </c>
    </row>
    <row r="27" spans="1:19" x14ac:dyDescent="0.3">
      <c r="A27" s="7">
        <v>42628</v>
      </c>
      <c r="B27" s="10" t="s">
        <v>108</v>
      </c>
      <c r="F27" s="59"/>
      <c r="G27" s="8">
        <f t="shared" si="1"/>
        <v>42628</v>
      </c>
      <c r="H27" s="11">
        <v>2</v>
      </c>
      <c r="I27" s="22">
        <v>19.399999999999999</v>
      </c>
      <c r="J27" s="4">
        <v>2</v>
      </c>
      <c r="K27" s="4">
        <v>0</v>
      </c>
      <c r="L27" s="74">
        <f t="shared" si="5"/>
        <v>19.399999999999999</v>
      </c>
      <c r="M27" s="9">
        <f t="shared" si="3"/>
        <v>42628</v>
      </c>
      <c r="N27" s="12">
        <v>3</v>
      </c>
      <c r="O27" s="6">
        <v>21.32</v>
      </c>
      <c r="P27" s="6">
        <v>3</v>
      </c>
      <c r="Q27" s="6">
        <v>0</v>
      </c>
      <c r="R27" s="33">
        <f t="shared" si="6"/>
        <v>21.32</v>
      </c>
      <c r="S27" s="29" t="s">
        <v>150</v>
      </c>
    </row>
    <row r="28" spans="1:19" x14ac:dyDescent="0.3">
      <c r="A28" s="7">
        <v>43748</v>
      </c>
      <c r="B28" s="10">
        <v>1</v>
      </c>
      <c r="C28" s="2">
        <v>47.11</v>
      </c>
      <c r="D28" s="2">
        <v>1</v>
      </c>
      <c r="E28" s="2">
        <v>0</v>
      </c>
      <c r="F28" s="59">
        <f>E28+C28</f>
        <v>47.11</v>
      </c>
      <c r="G28" s="8">
        <f t="shared" si="1"/>
        <v>43748</v>
      </c>
      <c r="H28" s="11">
        <v>2</v>
      </c>
      <c r="I28" s="22">
        <v>19.45</v>
      </c>
      <c r="J28" s="4">
        <v>2</v>
      </c>
      <c r="K28" s="4">
        <v>0</v>
      </c>
      <c r="L28" s="74">
        <f t="shared" si="5"/>
        <v>19.45</v>
      </c>
      <c r="M28" s="9">
        <f t="shared" si="3"/>
        <v>43748</v>
      </c>
      <c r="N28" s="12">
        <v>3</v>
      </c>
      <c r="O28" s="6">
        <v>21.39</v>
      </c>
      <c r="P28" s="6">
        <v>3</v>
      </c>
      <c r="Q28" s="6">
        <v>0</v>
      </c>
      <c r="R28" s="33">
        <f t="shared" si="6"/>
        <v>21.39</v>
      </c>
    </row>
    <row r="29" spans="1:19" x14ac:dyDescent="0.3">
      <c r="A29" s="7">
        <v>44060</v>
      </c>
      <c r="B29" s="10" t="s">
        <v>108</v>
      </c>
      <c r="G29" s="8">
        <f t="shared" si="1"/>
        <v>44060</v>
      </c>
      <c r="H29" s="11">
        <v>2</v>
      </c>
      <c r="I29" s="22">
        <v>19.38</v>
      </c>
      <c r="J29" s="4">
        <v>2</v>
      </c>
      <c r="K29" s="4">
        <v>0</v>
      </c>
      <c r="L29" s="74">
        <f t="shared" si="5"/>
        <v>19.38</v>
      </c>
      <c r="M29" s="9">
        <f t="shared" si="3"/>
        <v>44060</v>
      </c>
      <c r="N29" s="12">
        <v>3</v>
      </c>
      <c r="O29" s="6">
        <v>21.26</v>
      </c>
      <c r="P29" s="6">
        <v>3</v>
      </c>
      <c r="Q29" s="6">
        <v>0</v>
      </c>
      <c r="R29" s="33">
        <f t="shared" si="6"/>
        <v>21.26</v>
      </c>
      <c r="S29" s="29" t="s">
        <v>150</v>
      </c>
    </row>
    <row r="30" spans="1:19" x14ac:dyDescent="0.3">
      <c r="A30" s="7">
        <v>44777</v>
      </c>
      <c r="B30" s="28" t="s">
        <v>108</v>
      </c>
      <c r="G30" s="8">
        <f t="shared" si="1"/>
        <v>44777</v>
      </c>
      <c r="H30" s="11">
        <v>2</v>
      </c>
      <c r="I30" s="22">
        <v>19.079999999999998</v>
      </c>
      <c r="J30" s="4">
        <v>2</v>
      </c>
      <c r="K30" s="4">
        <v>0</v>
      </c>
      <c r="L30" s="32">
        <f t="shared" si="5"/>
        <v>19.079999999999998</v>
      </c>
      <c r="M30" s="9">
        <f t="shared" si="3"/>
        <v>44777</v>
      </c>
      <c r="N30" s="12">
        <v>3</v>
      </c>
      <c r="O30" s="6">
        <v>21.29</v>
      </c>
      <c r="P30" s="6">
        <v>3</v>
      </c>
      <c r="Q30" s="6">
        <v>0</v>
      </c>
      <c r="R30" s="164">
        <f t="shared" si="6"/>
        <v>21.29</v>
      </c>
      <c r="S30" s="29" t="s">
        <v>150</v>
      </c>
    </row>
    <row r="31" spans="1:19" x14ac:dyDescent="0.3">
      <c r="A31" s="7">
        <v>45152</v>
      </c>
      <c r="B31" s="28" t="s">
        <v>108</v>
      </c>
      <c r="G31" s="8">
        <f t="shared" si="1"/>
        <v>45152</v>
      </c>
      <c r="H31" s="11">
        <v>2</v>
      </c>
      <c r="I31" s="22">
        <v>19.2</v>
      </c>
      <c r="J31" s="4">
        <v>2</v>
      </c>
      <c r="K31" s="4">
        <v>0</v>
      </c>
      <c r="L31" s="50">
        <f t="shared" si="5"/>
        <v>19.2</v>
      </c>
      <c r="M31" s="9">
        <f t="shared" si="3"/>
        <v>45152</v>
      </c>
      <c r="N31" s="12">
        <v>3</v>
      </c>
      <c r="O31" s="6">
        <v>21.05</v>
      </c>
      <c r="P31" s="6">
        <v>3</v>
      </c>
      <c r="Q31" s="6">
        <v>0</v>
      </c>
      <c r="R31" s="33">
        <f t="shared" si="6"/>
        <v>21.05</v>
      </c>
      <c r="S31" s="29" t="s">
        <v>150</v>
      </c>
    </row>
    <row r="32" spans="1:19" x14ac:dyDescent="0.3">
      <c r="G32" s="8" t="str">
        <f t="shared" si="1"/>
        <v/>
      </c>
      <c r="I32" s="22"/>
      <c r="M32" s="9" t="str">
        <f t="shared" si="3"/>
        <v/>
      </c>
    </row>
    <row r="33" spans="7:13" x14ac:dyDescent="0.3">
      <c r="G33" s="8" t="str">
        <f t="shared" si="1"/>
        <v/>
      </c>
      <c r="I33" s="22"/>
      <c r="M33" s="9" t="str">
        <f t="shared" si="3"/>
        <v/>
      </c>
    </row>
    <row r="34" spans="7:13" x14ac:dyDescent="0.3">
      <c r="G34" s="8" t="str">
        <f t="shared" si="1"/>
        <v/>
      </c>
      <c r="M34" s="9" t="str">
        <f t="shared" si="3"/>
        <v/>
      </c>
    </row>
    <row r="35" spans="7:13" x14ac:dyDescent="0.3">
      <c r="G35" s="8" t="str">
        <f t="shared" si="1"/>
        <v/>
      </c>
      <c r="M35" s="9" t="str">
        <f t="shared" si="3"/>
        <v/>
      </c>
    </row>
    <row r="36" spans="7:13" x14ac:dyDescent="0.3">
      <c r="G36" s="8" t="str">
        <f t="shared" si="1"/>
        <v/>
      </c>
      <c r="M36" s="9" t="str">
        <f t="shared" si="3"/>
        <v/>
      </c>
    </row>
    <row r="37" spans="7:13" x14ac:dyDescent="0.3">
      <c r="G37" s="8" t="str">
        <f t="shared" si="1"/>
        <v/>
      </c>
      <c r="M37" s="9" t="str">
        <f t="shared" si="3"/>
        <v/>
      </c>
    </row>
    <row r="38" spans="7:13" x14ac:dyDescent="0.3">
      <c r="G38" s="8" t="str">
        <f t="shared" si="1"/>
        <v/>
      </c>
      <c r="M38" s="9" t="str">
        <f t="shared" si="3"/>
        <v/>
      </c>
    </row>
    <row r="39" spans="7:13" x14ac:dyDescent="0.3">
      <c r="G39" s="8" t="str">
        <f t="shared" si="1"/>
        <v/>
      </c>
      <c r="M39" s="9" t="str">
        <f t="shared" si="3"/>
        <v/>
      </c>
    </row>
    <row r="40" spans="7:13" x14ac:dyDescent="0.3">
      <c r="G40" s="8" t="str">
        <f t="shared" si="1"/>
        <v/>
      </c>
      <c r="M40" s="9" t="str">
        <f t="shared" si="3"/>
        <v/>
      </c>
    </row>
    <row r="41" spans="7:13" x14ac:dyDescent="0.3">
      <c r="G41" s="8" t="str">
        <f t="shared" si="1"/>
        <v/>
      </c>
      <c r="M41" s="9" t="str">
        <f t="shared" si="3"/>
        <v/>
      </c>
    </row>
    <row r="42" spans="7:13" x14ac:dyDescent="0.3">
      <c r="G42" s="8" t="str">
        <f t="shared" si="1"/>
        <v/>
      </c>
      <c r="M42" s="9" t="str">
        <f t="shared" si="3"/>
        <v/>
      </c>
    </row>
    <row r="43" spans="7:13" x14ac:dyDescent="0.3">
      <c r="G43" s="8" t="str">
        <f t="shared" si="1"/>
        <v/>
      </c>
      <c r="M43" s="9" t="str">
        <f t="shared" si="3"/>
        <v/>
      </c>
    </row>
    <row r="44" spans="7:13" x14ac:dyDescent="0.3">
      <c r="G44" s="8" t="str">
        <f t="shared" si="1"/>
        <v/>
      </c>
      <c r="M44" s="9" t="str">
        <f t="shared" si="3"/>
        <v/>
      </c>
    </row>
    <row r="45" spans="7:13" x14ac:dyDescent="0.3">
      <c r="G45" s="8" t="str">
        <f t="shared" si="1"/>
        <v/>
      </c>
      <c r="M45" s="9" t="str">
        <f t="shared" si="3"/>
        <v/>
      </c>
    </row>
    <row r="46" spans="7:13" x14ac:dyDescent="0.3">
      <c r="G46" s="8" t="str">
        <f t="shared" si="1"/>
        <v/>
      </c>
      <c r="M46" s="9" t="str">
        <f t="shared" si="3"/>
        <v/>
      </c>
    </row>
    <row r="47" spans="7:13" x14ac:dyDescent="0.3">
      <c r="G47" s="8" t="str">
        <f t="shared" si="1"/>
        <v/>
      </c>
      <c r="M47" s="9" t="str">
        <f t="shared" si="3"/>
        <v/>
      </c>
    </row>
    <row r="48" spans="7:13" x14ac:dyDescent="0.3">
      <c r="G48" s="8" t="str">
        <f t="shared" si="1"/>
        <v/>
      </c>
      <c r="M48" s="9" t="str">
        <f t="shared" si="3"/>
        <v/>
      </c>
    </row>
    <row r="49" spans="7:13" x14ac:dyDescent="0.3">
      <c r="G49" s="8" t="str">
        <f t="shared" si="1"/>
        <v/>
      </c>
      <c r="M49" s="9" t="str">
        <f t="shared" si="3"/>
        <v/>
      </c>
    </row>
    <row r="50" spans="7:13" x14ac:dyDescent="0.3">
      <c r="G50" s="8" t="str">
        <f t="shared" si="1"/>
        <v/>
      </c>
      <c r="M50" s="9" t="str">
        <f t="shared" si="3"/>
        <v/>
      </c>
    </row>
    <row r="51" spans="7:13" x14ac:dyDescent="0.3">
      <c r="G51" s="8" t="str">
        <f t="shared" si="1"/>
        <v/>
      </c>
      <c r="M51" s="9" t="str">
        <f t="shared" si="3"/>
        <v/>
      </c>
    </row>
    <row r="52" spans="7:13" x14ac:dyDescent="0.3">
      <c r="G52" s="8" t="str">
        <f t="shared" si="1"/>
        <v/>
      </c>
      <c r="M52" s="9" t="str">
        <f t="shared" si="3"/>
        <v/>
      </c>
    </row>
    <row r="53" spans="7:13" x14ac:dyDescent="0.3">
      <c r="G53" s="8" t="str">
        <f t="shared" si="1"/>
        <v/>
      </c>
      <c r="M53" s="9" t="str">
        <f t="shared" si="3"/>
        <v/>
      </c>
    </row>
    <row r="54" spans="7:13" x14ac:dyDescent="0.3">
      <c r="G54" s="8" t="str">
        <f t="shared" si="1"/>
        <v/>
      </c>
      <c r="M54" s="9" t="str">
        <f t="shared" si="3"/>
        <v/>
      </c>
    </row>
    <row r="55" spans="7:13" x14ac:dyDescent="0.3">
      <c r="G55" s="8" t="str">
        <f t="shared" si="1"/>
        <v/>
      </c>
      <c r="M55" s="9" t="str">
        <f t="shared" si="3"/>
        <v/>
      </c>
    </row>
    <row r="56" spans="7:13" x14ac:dyDescent="0.3">
      <c r="G56" s="8" t="str">
        <f t="shared" si="1"/>
        <v/>
      </c>
      <c r="M56" s="9" t="str">
        <f t="shared" si="3"/>
        <v/>
      </c>
    </row>
    <row r="57" spans="7:13" x14ac:dyDescent="0.3">
      <c r="G57" s="8" t="str">
        <f t="shared" si="1"/>
        <v/>
      </c>
      <c r="M57" s="9" t="str">
        <f t="shared" si="3"/>
        <v/>
      </c>
    </row>
    <row r="58" spans="7:13" x14ac:dyDescent="0.3">
      <c r="G58" s="8" t="str">
        <f t="shared" si="1"/>
        <v/>
      </c>
      <c r="M58" s="9" t="str">
        <f t="shared" si="3"/>
        <v/>
      </c>
    </row>
    <row r="59" spans="7:13" x14ac:dyDescent="0.3">
      <c r="G59" s="8" t="str">
        <f t="shared" si="1"/>
        <v/>
      </c>
      <c r="M59" s="9" t="str">
        <f t="shared" si="3"/>
        <v/>
      </c>
    </row>
    <row r="60" spans="7:13" x14ac:dyDescent="0.3">
      <c r="G60" s="8" t="str">
        <f t="shared" si="1"/>
        <v/>
      </c>
      <c r="M60" s="9" t="str">
        <f t="shared" si="3"/>
        <v/>
      </c>
    </row>
    <row r="61" spans="7:13" x14ac:dyDescent="0.3">
      <c r="G61" s="8" t="str">
        <f t="shared" si="1"/>
        <v/>
      </c>
      <c r="M61" s="9" t="str">
        <f t="shared" si="3"/>
        <v/>
      </c>
    </row>
    <row r="62" spans="7:13" x14ac:dyDescent="0.3">
      <c r="G62" s="8" t="str">
        <f t="shared" si="1"/>
        <v/>
      </c>
      <c r="M62" s="9" t="str">
        <f t="shared" si="3"/>
        <v/>
      </c>
    </row>
    <row r="63" spans="7:13" x14ac:dyDescent="0.3">
      <c r="G63" s="8" t="str">
        <f t="shared" si="1"/>
        <v/>
      </c>
      <c r="M63" s="9" t="str">
        <f t="shared" si="3"/>
        <v/>
      </c>
    </row>
    <row r="64" spans="7:13" x14ac:dyDescent="0.3">
      <c r="G64" s="8" t="str">
        <f t="shared" si="1"/>
        <v/>
      </c>
      <c r="M64" s="9" t="str">
        <f t="shared" si="3"/>
        <v/>
      </c>
    </row>
    <row r="65" spans="7:13" x14ac:dyDescent="0.3">
      <c r="G65" s="8" t="str">
        <f t="shared" si="1"/>
        <v/>
      </c>
      <c r="M65" s="9" t="str">
        <f t="shared" si="3"/>
        <v/>
      </c>
    </row>
    <row r="66" spans="7:13" x14ac:dyDescent="0.3">
      <c r="G66" s="8" t="str">
        <f t="shared" si="1"/>
        <v/>
      </c>
      <c r="M66" s="9" t="str">
        <f t="shared" si="3"/>
        <v/>
      </c>
    </row>
    <row r="67" spans="7:13" x14ac:dyDescent="0.3">
      <c r="G67" s="8" t="str">
        <f t="shared" si="1"/>
        <v/>
      </c>
      <c r="M67" s="9" t="str">
        <f t="shared" si="3"/>
        <v/>
      </c>
    </row>
    <row r="68" spans="7:13" x14ac:dyDescent="0.3">
      <c r="G68" s="8" t="str">
        <f t="shared" si="1"/>
        <v/>
      </c>
      <c r="M68" s="9" t="str">
        <f t="shared" si="3"/>
        <v/>
      </c>
    </row>
    <row r="69" spans="7:13" x14ac:dyDescent="0.3">
      <c r="G69" s="8" t="str">
        <f t="shared" si="1"/>
        <v/>
      </c>
      <c r="M69" s="9" t="str">
        <f t="shared" si="3"/>
        <v/>
      </c>
    </row>
    <row r="70" spans="7:13" x14ac:dyDescent="0.3">
      <c r="G70" s="8" t="str">
        <f t="shared" si="1"/>
        <v/>
      </c>
      <c r="M70" s="9" t="str">
        <f t="shared" si="3"/>
        <v/>
      </c>
    </row>
    <row r="71" spans="7:13" x14ac:dyDescent="0.3">
      <c r="G71" s="8" t="str">
        <f t="shared" si="1"/>
        <v/>
      </c>
      <c r="M71" s="9" t="str">
        <f t="shared" si="3"/>
        <v/>
      </c>
    </row>
    <row r="72" spans="7:13" x14ac:dyDescent="0.3">
      <c r="G72" s="8" t="str">
        <f t="shared" si="1"/>
        <v/>
      </c>
      <c r="M72" s="9" t="str">
        <f t="shared" si="3"/>
        <v/>
      </c>
    </row>
    <row r="73" spans="7:13" x14ac:dyDescent="0.3">
      <c r="G73" s="8" t="str">
        <f t="shared" si="1"/>
        <v/>
      </c>
      <c r="M73" s="9" t="str">
        <f t="shared" si="3"/>
        <v/>
      </c>
    </row>
    <row r="74" spans="7:13" x14ac:dyDescent="0.3">
      <c r="G74" s="8" t="str">
        <f t="shared" si="1"/>
        <v/>
      </c>
      <c r="M74" s="9" t="str">
        <f t="shared" si="3"/>
        <v/>
      </c>
    </row>
    <row r="75" spans="7:13" x14ac:dyDescent="0.3">
      <c r="G75" s="8" t="str">
        <f t="shared" si="1"/>
        <v/>
      </c>
      <c r="M75" s="9" t="str">
        <f t="shared" si="3"/>
        <v/>
      </c>
    </row>
    <row r="76" spans="7:13" x14ac:dyDescent="0.3">
      <c r="G76" s="8" t="str">
        <f t="shared" ref="G76:G84" si="7">IF(ISNUMBER(A76),A76,"")</f>
        <v/>
      </c>
      <c r="M76" s="9" t="str">
        <f t="shared" ref="M76:M84" si="8">IF(ISNUMBER(G76),G76,"")</f>
        <v/>
      </c>
    </row>
    <row r="77" spans="7:13" x14ac:dyDescent="0.3">
      <c r="G77" s="8" t="str">
        <f t="shared" si="7"/>
        <v/>
      </c>
      <c r="M77" s="9" t="str">
        <f t="shared" si="8"/>
        <v/>
      </c>
    </row>
    <row r="78" spans="7:13" x14ac:dyDescent="0.3">
      <c r="G78" s="8" t="str">
        <f t="shared" si="7"/>
        <v/>
      </c>
      <c r="M78" s="9" t="str">
        <f t="shared" si="8"/>
        <v/>
      </c>
    </row>
    <row r="79" spans="7:13" x14ac:dyDescent="0.3">
      <c r="G79" s="8" t="str">
        <f t="shared" si="7"/>
        <v/>
      </c>
      <c r="M79" s="9" t="str">
        <f t="shared" si="8"/>
        <v/>
      </c>
    </row>
    <row r="80" spans="7:13" x14ac:dyDescent="0.3">
      <c r="G80" s="8" t="str">
        <f t="shared" si="7"/>
        <v/>
      </c>
      <c r="M80" s="9" t="str">
        <f t="shared" si="8"/>
        <v/>
      </c>
    </row>
    <row r="81" spans="7:13" x14ac:dyDescent="0.3">
      <c r="G81" s="8" t="str">
        <f t="shared" si="7"/>
        <v/>
      </c>
      <c r="M81" s="9" t="str">
        <f t="shared" si="8"/>
        <v/>
      </c>
    </row>
    <row r="82" spans="7:13" x14ac:dyDescent="0.3">
      <c r="G82" s="8" t="str">
        <f t="shared" si="7"/>
        <v/>
      </c>
      <c r="M82" s="9" t="str">
        <f t="shared" si="8"/>
        <v/>
      </c>
    </row>
    <row r="83" spans="7:13" x14ac:dyDescent="0.3">
      <c r="G83" s="8" t="str">
        <f t="shared" si="7"/>
        <v/>
      </c>
      <c r="M83" s="9" t="str">
        <f t="shared" si="8"/>
        <v/>
      </c>
    </row>
    <row r="84" spans="7:13" x14ac:dyDescent="0.3">
      <c r="G84" s="8" t="str">
        <f t="shared" si="7"/>
        <v/>
      </c>
      <c r="M84" s="9" t="str">
        <f t="shared" si="8"/>
        <v/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8"/>
  <sheetViews>
    <sheetView workbookViewId="0">
      <selection activeCell="AF11" sqref="AF11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5" width="9.1796875" style="2" customWidth="1"/>
    <col min="6" max="6" width="9.1796875" style="1" customWidth="1"/>
    <col min="7" max="7" width="10.453125" style="4" customWidth="1"/>
    <col min="8" max="8" width="9.1796875" style="11" customWidth="1"/>
    <col min="9" max="12" width="9.1796875" style="4" customWidth="1"/>
    <col min="13" max="13" width="10.26953125" style="6" customWidth="1"/>
    <col min="14" max="14" width="9.1796875" style="12" customWidth="1"/>
    <col min="15" max="18" width="9.1796875" style="6" customWidth="1"/>
    <col min="19" max="19" width="10.26953125" style="14" customWidth="1"/>
    <col min="20" max="24" width="9.1796875" style="14" customWidth="1"/>
    <col min="25" max="25" width="9.81640625" style="40" customWidth="1"/>
    <col min="26" max="30" width="9.1796875" style="40" customWidth="1"/>
  </cols>
  <sheetData>
    <row r="1" spans="1:32" x14ac:dyDescent="0.3">
      <c r="A1" s="1" t="s">
        <v>30</v>
      </c>
      <c r="G1" s="3" t="s">
        <v>31</v>
      </c>
      <c r="M1" s="5" t="s">
        <v>54</v>
      </c>
      <c r="S1" s="13" t="s">
        <v>56</v>
      </c>
      <c r="Y1" s="39" t="s">
        <v>111</v>
      </c>
    </row>
    <row r="3" spans="1:32" x14ac:dyDescent="0.3">
      <c r="A3" s="2" t="s">
        <v>0</v>
      </c>
      <c r="B3" s="10" t="s">
        <v>1</v>
      </c>
      <c r="C3" s="2" t="s">
        <v>2</v>
      </c>
      <c r="D3" s="2" t="s">
        <v>4</v>
      </c>
      <c r="E3" s="2" t="s">
        <v>6</v>
      </c>
      <c r="F3" s="1" t="s">
        <v>6</v>
      </c>
      <c r="G3" s="4" t="s">
        <v>0</v>
      </c>
      <c r="H3" s="11" t="s">
        <v>1</v>
      </c>
      <c r="I3" s="4" t="s">
        <v>2</v>
      </c>
      <c r="J3" s="4" t="s">
        <v>4</v>
      </c>
      <c r="K3" s="4" t="s">
        <v>6</v>
      </c>
      <c r="L3" s="3" t="s">
        <v>6</v>
      </c>
      <c r="M3" s="6" t="s">
        <v>0</v>
      </c>
      <c r="N3" s="12" t="s">
        <v>1</v>
      </c>
      <c r="O3" s="6" t="s">
        <v>2</v>
      </c>
      <c r="P3" s="6" t="s">
        <v>4</v>
      </c>
      <c r="Q3" s="6" t="s">
        <v>6</v>
      </c>
      <c r="R3" s="5" t="s">
        <v>6</v>
      </c>
      <c r="S3" s="14" t="s">
        <v>0</v>
      </c>
      <c r="T3" s="14" t="s">
        <v>1</v>
      </c>
      <c r="U3" s="14" t="s">
        <v>2</v>
      </c>
      <c r="V3" s="14" t="s">
        <v>4</v>
      </c>
      <c r="W3" s="14" t="s">
        <v>6</v>
      </c>
      <c r="X3" s="13" t="s">
        <v>6</v>
      </c>
      <c r="Y3" s="40" t="s">
        <v>0</v>
      </c>
      <c r="Z3" s="40" t="s">
        <v>1</v>
      </c>
      <c r="AA3" s="40" t="s">
        <v>2</v>
      </c>
      <c r="AB3" s="40" t="s">
        <v>4</v>
      </c>
      <c r="AC3" s="40" t="s">
        <v>6</v>
      </c>
      <c r="AD3" s="39" t="s">
        <v>6</v>
      </c>
    </row>
    <row r="4" spans="1:32" x14ac:dyDescent="0.3">
      <c r="C4" s="2" t="s">
        <v>3</v>
      </c>
      <c r="D4" s="2" t="s">
        <v>5</v>
      </c>
      <c r="E4" s="2" t="s">
        <v>7</v>
      </c>
      <c r="F4" s="1" t="s">
        <v>9</v>
      </c>
      <c r="I4" s="4" t="s">
        <v>3</v>
      </c>
      <c r="J4" s="4" t="s">
        <v>5</v>
      </c>
      <c r="K4" s="4" t="s">
        <v>7</v>
      </c>
      <c r="L4" s="3" t="s">
        <v>9</v>
      </c>
      <c r="O4" s="6" t="s">
        <v>3</v>
      </c>
      <c r="P4" s="6" t="s">
        <v>5</v>
      </c>
      <c r="Q4" s="6" t="s">
        <v>7</v>
      </c>
      <c r="R4" s="5" t="s">
        <v>9</v>
      </c>
      <c r="U4" s="14" t="s">
        <v>3</v>
      </c>
      <c r="V4" s="14" t="s">
        <v>5</v>
      </c>
      <c r="W4" s="14" t="s">
        <v>7</v>
      </c>
      <c r="X4" s="13" t="s">
        <v>9</v>
      </c>
      <c r="AA4" s="40" t="s">
        <v>3</v>
      </c>
      <c r="AB4" s="40" t="s">
        <v>5</v>
      </c>
      <c r="AC4" s="40" t="s">
        <v>7</v>
      </c>
      <c r="AD4" s="39" t="s">
        <v>9</v>
      </c>
    </row>
    <row r="5" spans="1:32" x14ac:dyDescent="0.3">
      <c r="E5" s="2" t="s">
        <v>8</v>
      </c>
      <c r="F5" s="1" t="s">
        <v>8</v>
      </c>
      <c r="K5" s="4" t="s">
        <v>8</v>
      </c>
      <c r="L5" s="3" t="s">
        <v>8</v>
      </c>
      <c r="Q5" s="6" t="s">
        <v>8</v>
      </c>
      <c r="R5" s="5" t="s">
        <v>8</v>
      </c>
      <c r="W5" s="14" t="s">
        <v>8</v>
      </c>
      <c r="X5" s="13" t="s">
        <v>8</v>
      </c>
      <c r="AC5" s="40" t="s">
        <v>8</v>
      </c>
      <c r="AD5" s="39" t="s">
        <v>8</v>
      </c>
    </row>
    <row r="7" spans="1:32" x14ac:dyDescent="0.3">
      <c r="A7" s="7">
        <v>40010</v>
      </c>
      <c r="B7" s="10">
        <v>22</v>
      </c>
      <c r="G7" s="45">
        <f>A7</f>
        <v>40010</v>
      </c>
      <c r="H7" s="11">
        <v>32</v>
      </c>
      <c r="I7" s="4">
        <v>13.67</v>
      </c>
      <c r="J7" s="4">
        <v>32</v>
      </c>
      <c r="K7" s="4">
        <v>0</v>
      </c>
      <c r="L7" s="32">
        <f>I7+K7</f>
        <v>13.67</v>
      </c>
      <c r="M7" s="46">
        <f>A7</f>
        <v>40010</v>
      </c>
      <c r="N7" s="12">
        <v>42</v>
      </c>
      <c r="O7" s="23">
        <v>1.2</v>
      </c>
      <c r="P7" s="6">
        <v>42</v>
      </c>
      <c r="Q7" s="6">
        <v>0</v>
      </c>
      <c r="R7" s="34">
        <v>1.2</v>
      </c>
      <c r="S7" s="47">
        <f>A7</f>
        <v>40010</v>
      </c>
      <c r="T7" s="14">
        <v>52</v>
      </c>
      <c r="U7" s="14">
        <v>1.32</v>
      </c>
      <c r="V7" s="14">
        <v>52</v>
      </c>
      <c r="W7" s="14">
        <v>0</v>
      </c>
      <c r="X7" s="37">
        <v>1.32</v>
      </c>
    </row>
    <row r="8" spans="1:32" x14ac:dyDescent="0.3">
      <c r="A8" s="7">
        <v>40102</v>
      </c>
      <c r="B8" s="10">
        <v>22</v>
      </c>
      <c r="C8" s="20">
        <v>31.76</v>
      </c>
      <c r="D8" s="2">
        <v>22</v>
      </c>
      <c r="E8" s="2">
        <v>0</v>
      </c>
      <c r="F8" s="16">
        <v>31.76</v>
      </c>
      <c r="G8" s="45">
        <v>40102</v>
      </c>
      <c r="H8" s="11">
        <v>32</v>
      </c>
      <c r="I8" s="22">
        <v>13.7</v>
      </c>
      <c r="J8" s="4">
        <v>32</v>
      </c>
      <c r="K8" s="4">
        <v>0</v>
      </c>
      <c r="L8" s="50">
        <f>I8+K8</f>
        <v>13.7</v>
      </c>
      <c r="M8" s="46">
        <v>40102</v>
      </c>
      <c r="N8" s="12">
        <v>42</v>
      </c>
      <c r="O8" s="23">
        <v>1.22</v>
      </c>
      <c r="P8" s="6">
        <v>42</v>
      </c>
      <c r="Q8" s="6">
        <v>0</v>
      </c>
      <c r="R8" s="18">
        <v>1.22</v>
      </c>
      <c r="S8" s="47"/>
      <c r="Y8" s="48">
        <v>40102</v>
      </c>
      <c r="Z8" s="49" t="s">
        <v>112</v>
      </c>
      <c r="AA8" s="40">
        <v>10.43</v>
      </c>
      <c r="AB8" s="49" t="s">
        <v>113</v>
      </c>
      <c r="AC8" s="40">
        <v>10.57</v>
      </c>
      <c r="AD8" s="44">
        <f>AA8+AC8</f>
        <v>21</v>
      </c>
    </row>
    <row r="9" spans="1:32" x14ac:dyDescent="0.3">
      <c r="A9" s="7">
        <v>40387</v>
      </c>
      <c r="B9" s="10">
        <v>22</v>
      </c>
      <c r="C9" s="20">
        <v>31.58</v>
      </c>
      <c r="D9" s="2">
        <v>22</v>
      </c>
      <c r="E9" s="2">
        <v>0</v>
      </c>
      <c r="F9" s="16">
        <f>C9</f>
        <v>31.58</v>
      </c>
      <c r="G9" s="45">
        <v>40387</v>
      </c>
      <c r="H9" s="11">
        <v>32</v>
      </c>
      <c r="I9" s="22">
        <v>13.7</v>
      </c>
      <c r="J9" s="4">
        <v>32</v>
      </c>
      <c r="K9" s="4">
        <v>0</v>
      </c>
      <c r="L9" s="50">
        <f>I9+K9</f>
        <v>13.7</v>
      </c>
      <c r="M9" s="46">
        <v>40387</v>
      </c>
      <c r="N9" s="12">
        <v>42</v>
      </c>
      <c r="O9" s="23">
        <v>0.89</v>
      </c>
      <c r="P9" s="6">
        <v>42</v>
      </c>
      <c r="Q9" s="6">
        <v>0</v>
      </c>
      <c r="R9" s="18">
        <v>0.89</v>
      </c>
      <c r="S9" s="47">
        <v>40387</v>
      </c>
      <c r="T9" s="14">
        <v>52</v>
      </c>
      <c r="U9" s="14">
        <v>1.1399999999999999</v>
      </c>
      <c r="V9" s="14">
        <v>52</v>
      </c>
      <c r="W9" s="14">
        <v>0</v>
      </c>
      <c r="X9" s="37">
        <v>1.1399999999999999</v>
      </c>
      <c r="Y9" s="48">
        <v>40387</v>
      </c>
      <c r="Z9" s="49" t="s">
        <v>112</v>
      </c>
      <c r="AA9" s="40">
        <v>10.37</v>
      </c>
      <c r="AB9" s="49" t="s">
        <v>113</v>
      </c>
      <c r="AC9" s="40">
        <v>10.57</v>
      </c>
      <c r="AD9" s="44">
        <f>AA9+AC9</f>
        <v>20.939999999999998</v>
      </c>
    </row>
    <row r="10" spans="1:32" x14ac:dyDescent="0.3">
      <c r="A10" s="7">
        <v>41468</v>
      </c>
      <c r="B10" s="10">
        <v>22</v>
      </c>
      <c r="C10" s="20">
        <v>31.18</v>
      </c>
      <c r="D10" s="2">
        <v>22</v>
      </c>
      <c r="E10" s="2">
        <v>0</v>
      </c>
      <c r="F10" s="16">
        <f>C10</f>
        <v>31.18</v>
      </c>
      <c r="G10" s="45">
        <f>A10</f>
        <v>41468</v>
      </c>
      <c r="H10" s="11">
        <v>32</v>
      </c>
      <c r="I10" s="22">
        <v>13.1</v>
      </c>
      <c r="J10" s="4">
        <v>32</v>
      </c>
      <c r="K10" s="4">
        <v>0</v>
      </c>
      <c r="L10" s="50">
        <f>I10+K10</f>
        <v>13.1</v>
      </c>
      <c r="M10" s="46">
        <f>A10</f>
        <v>41468</v>
      </c>
      <c r="N10" s="12">
        <v>42</v>
      </c>
      <c r="O10" s="23">
        <v>0.25</v>
      </c>
      <c r="P10" s="6">
        <v>42</v>
      </c>
      <c r="Q10" s="6">
        <v>0</v>
      </c>
      <c r="R10" s="18">
        <f>O10+Q10</f>
        <v>0.25</v>
      </c>
      <c r="S10" s="47">
        <f>A10</f>
        <v>41468</v>
      </c>
      <c r="U10" s="36"/>
      <c r="X10" s="19"/>
      <c r="Y10" s="48">
        <f>A10</f>
        <v>41468</v>
      </c>
      <c r="AA10" s="42"/>
      <c r="AD10" s="43"/>
      <c r="AE10" s="29" t="s">
        <v>136</v>
      </c>
    </row>
    <row r="11" spans="1:32" x14ac:dyDescent="0.3">
      <c r="A11" s="7">
        <v>45770</v>
      </c>
      <c r="B11" s="10">
        <v>22</v>
      </c>
      <c r="C11" s="20">
        <v>26.74</v>
      </c>
      <c r="D11" s="2">
        <v>22</v>
      </c>
      <c r="E11" s="2">
        <v>0</v>
      </c>
      <c r="F11" s="16">
        <f>C11</f>
        <v>26.74</v>
      </c>
      <c r="G11" s="45">
        <f>A11</f>
        <v>45770</v>
      </c>
      <c r="H11" s="11">
        <v>31</v>
      </c>
      <c r="I11" s="4">
        <v>24.62</v>
      </c>
      <c r="J11" s="4">
        <v>32</v>
      </c>
      <c r="K11" s="4">
        <v>17.72</v>
      </c>
      <c r="L11" s="50">
        <f>I11-K11</f>
        <v>6.9000000000000021</v>
      </c>
      <c r="M11" s="46">
        <f>A11</f>
        <v>45770</v>
      </c>
      <c r="N11" s="12" t="s">
        <v>108</v>
      </c>
      <c r="O11" s="23"/>
      <c r="R11" s="18"/>
      <c r="S11" s="47">
        <f>A11</f>
        <v>45770</v>
      </c>
      <c r="T11" s="14" t="s">
        <v>108</v>
      </c>
      <c r="U11" s="36"/>
      <c r="X11" s="19"/>
      <c r="Y11" s="48">
        <f>A11</f>
        <v>45770</v>
      </c>
      <c r="AA11" s="42"/>
      <c r="AD11" s="43"/>
      <c r="AE11" t="s">
        <v>108</v>
      </c>
      <c r="AF11" t="s">
        <v>250</v>
      </c>
    </row>
    <row r="12" spans="1:32" x14ac:dyDescent="0.3">
      <c r="A12" s="7"/>
      <c r="C12" s="20"/>
      <c r="F12" s="16"/>
      <c r="G12" s="8"/>
      <c r="L12" s="17"/>
      <c r="M12" s="9"/>
      <c r="O12" s="23"/>
      <c r="R12" s="18"/>
      <c r="S12" s="15"/>
      <c r="U12" s="36"/>
      <c r="X12" s="19"/>
      <c r="Y12" s="41"/>
      <c r="AA12" s="42"/>
      <c r="AD12" s="43"/>
    </row>
    <row r="13" spans="1:32" x14ac:dyDescent="0.3">
      <c r="A13" s="7"/>
      <c r="C13" s="20"/>
      <c r="F13" s="16"/>
      <c r="G13" s="8"/>
      <c r="L13" s="17"/>
      <c r="M13" s="9"/>
      <c r="O13" s="23"/>
      <c r="R13" s="18"/>
      <c r="S13" s="15"/>
      <c r="U13" s="36"/>
      <c r="X13" s="19"/>
      <c r="Y13" s="41"/>
      <c r="AA13" s="42"/>
      <c r="AD13" s="43"/>
    </row>
    <row r="14" spans="1:32" x14ac:dyDescent="0.3">
      <c r="A14" s="7"/>
      <c r="C14" s="20"/>
      <c r="F14" s="16"/>
      <c r="G14" s="8"/>
      <c r="L14" s="17"/>
      <c r="M14" s="9"/>
      <c r="O14" s="23"/>
      <c r="R14" s="18"/>
      <c r="S14" s="15"/>
      <c r="U14" s="36"/>
      <c r="X14" s="19"/>
      <c r="Y14" s="41"/>
      <c r="AA14" s="42"/>
      <c r="AD14" s="43"/>
    </row>
    <row r="15" spans="1:32" x14ac:dyDescent="0.3">
      <c r="A15" s="7"/>
      <c r="C15" s="20"/>
      <c r="F15" s="16"/>
      <c r="G15" s="8"/>
      <c r="H15" s="25"/>
      <c r="L15" s="17"/>
      <c r="M15" s="9"/>
      <c r="N15" s="27"/>
      <c r="O15" s="23"/>
      <c r="R15" s="18"/>
      <c r="S15" s="15"/>
      <c r="U15" s="36"/>
      <c r="X15" s="19"/>
      <c r="Y15" s="41"/>
      <c r="AA15" s="42"/>
      <c r="AD15" s="43"/>
    </row>
    <row r="16" spans="1:32" x14ac:dyDescent="0.3">
      <c r="A16" s="7"/>
      <c r="C16" s="20"/>
      <c r="F16" s="16"/>
      <c r="G16" s="8"/>
      <c r="L16" s="17"/>
      <c r="M16" s="9"/>
      <c r="O16" s="23"/>
      <c r="R16" s="18"/>
      <c r="S16" s="15"/>
      <c r="U16" s="36"/>
      <c r="X16" s="19"/>
      <c r="Y16" s="41"/>
      <c r="AA16" s="42"/>
      <c r="AD16" s="43"/>
    </row>
    <row r="17" spans="1:30" x14ac:dyDescent="0.3">
      <c r="A17" s="7"/>
      <c r="C17" s="20"/>
      <c r="F17" s="16"/>
      <c r="G17" s="8"/>
      <c r="L17" s="17"/>
      <c r="M17" s="9"/>
      <c r="O17" s="23"/>
      <c r="R17" s="18"/>
      <c r="S17" s="15"/>
      <c r="U17" s="36"/>
      <c r="X17" s="19"/>
      <c r="Y17" s="41"/>
      <c r="AA17" s="42"/>
      <c r="AD17" s="43"/>
    </row>
    <row r="18" spans="1:30" x14ac:dyDescent="0.3">
      <c r="A18" s="7"/>
      <c r="C18" s="20"/>
      <c r="F18" s="16"/>
      <c r="G18" s="8"/>
      <c r="L18" s="17"/>
      <c r="M18" s="9"/>
      <c r="O18" s="23"/>
      <c r="R18" s="18"/>
      <c r="S18" s="15"/>
      <c r="U18" s="36"/>
      <c r="X18" s="19"/>
      <c r="Y18" s="41"/>
      <c r="AA18" s="42"/>
      <c r="AD18" s="43"/>
    </row>
    <row r="19" spans="1:30" x14ac:dyDescent="0.3">
      <c r="A19" s="7"/>
      <c r="C19" s="20"/>
      <c r="F19" s="16"/>
      <c r="G19" s="8"/>
      <c r="L19" s="17"/>
      <c r="M19" s="9"/>
      <c r="O19" s="23"/>
      <c r="R19" s="18"/>
      <c r="S19" s="15"/>
      <c r="U19" s="36"/>
      <c r="X19" s="19"/>
      <c r="Y19" s="41"/>
      <c r="AA19" s="42"/>
      <c r="AD19" s="43"/>
    </row>
    <row r="20" spans="1:30" x14ac:dyDescent="0.3">
      <c r="A20" s="7"/>
      <c r="C20" s="20"/>
      <c r="F20" s="16"/>
      <c r="G20" s="8"/>
      <c r="L20" s="17"/>
      <c r="M20" s="9"/>
      <c r="O20" s="23"/>
      <c r="R20" s="18"/>
      <c r="S20" s="15"/>
      <c r="U20" s="36"/>
      <c r="X20" s="19"/>
      <c r="Y20" s="41"/>
      <c r="AA20" s="42"/>
      <c r="AD20" s="43"/>
    </row>
    <row r="21" spans="1:30" x14ac:dyDescent="0.3">
      <c r="A21" s="7"/>
      <c r="C21" s="20"/>
      <c r="G21" s="8"/>
      <c r="L21" s="17"/>
      <c r="M21" s="9"/>
      <c r="O21" s="23"/>
      <c r="R21" s="18"/>
      <c r="S21" s="15"/>
      <c r="U21" s="36"/>
      <c r="X21" s="19"/>
      <c r="Y21" s="41"/>
      <c r="AA21" s="42"/>
      <c r="AD21" s="43"/>
    </row>
    <row r="22" spans="1:30" x14ac:dyDescent="0.3">
      <c r="A22" s="7"/>
      <c r="C22" s="20"/>
      <c r="F22" s="16"/>
      <c r="G22" s="8"/>
      <c r="H22" s="30"/>
      <c r="I22" s="30"/>
      <c r="J22" s="30"/>
      <c r="K22" s="30"/>
      <c r="L22" s="30"/>
      <c r="M22" s="9"/>
      <c r="O22" s="23"/>
      <c r="R22" s="34"/>
      <c r="S22" s="15"/>
      <c r="U22" s="36"/>
      <c r="X22" s="38"/>
      <c r="Y22" s="41"/>
      <c r="AA22" s="42"/>
      <c r="AD22" s="44"/>
    </row>
    <row r="23" spans="1:30" x14ac:dyDescent="0.3">
      <c r="G23" s="8" t="str">
        <f t="shared" ref="G23:G71" si="0">IF(ISNUMBER(A23),A23,"")</f>
        <v/>
      </c>
      <c r="M23" s="9" t="str">
        <f t="shared" ref="M23:M71" si="1">IF(ISNUMBER(G23),G23,"")</f>
        <v/>
      </c>
      <c r="S23" s="15" t="str">
        <f t="shared" ref="S23:S77" si="2">IF(ISNUMBER(M23),M23,"")</f>
        <v/>
      </c>
      <c r="Y23" s="41" t="str">
        <f t="shared" ref="Y23:Y88" si="3">IF(ISNUMBER(S23),S23,"")</f>
        <v/>
      </c>
    </row>
    <row r="24" spans="1:30" x14ac:dyDescent="0.3">
      <c r="G24" s="8" t="str">
        <f t="shared" si="0"/>
        <v/>
      </c>
      <c r="M24" s="9" t="str">
        <f t="shared" si="1"/>
        <v/>
      </c>
      <c r="S24" s="15" t="str">
        <f t="shared" si="2"/>
        <v/>
      </c>
      <c r="Y24" s="41" t="str">
        <f t="shared" si="3"/>
        <v/>
      </c>
    </row>
    <row r="25" spans="1:30" x14ac:dyDescent="0.3">
      <c r="G25" s="8" t="str">
        <f t="shared" si="0"/>
        <v/>
      </c>
      <c r="M25" s="9" t="str">
        <f t="shared" si="1"/>
        <v/>
      </c>
      <c r="S25" s="15" t="str">
        <f t="shared" si="2"/>
        <v/>
      </c>
      <c r="Y25" s="41" t="str">
        <f t="shared" si="3"/>
        <v/>
      </c>
    </row>
    <row r="26" spans="1:30" x14ac:dyDescent="0.3">
      <c r="G26" s="8" t="str">
        <f t="shared" si="0"/>
        <v/>
      </c>
      <c r="M26" s="9" t="str">
        <f t="shared" si="1"/>
        <v/>
      </c>
      <c r="S26" s="15" t="str">
        <f t="shared" si="2"/>
        <v/>
      </c>
      <c r="Y26" s="41" t="str">
        <f t="shared" si="3"/>
        <v/>
      </c>
    </row>
    <row r="27" spans="1:30" x14ac:dyDescent="0.3">
      <c r="G27" s="8" t="str">
        <f t="shared" si="0"/>
        <v/>
      </c>
      <c r="M27" s="9" t="str">
        <f t="shared" si="1"/>
        <v/>
      </c>
      <c r="S27" s="15" t="str">
        <f t="shared" si="2"/>
        <v/>
      </c>
      <c r="Y27" s="41" t="str">
        <f t="shared" si="3"/>
        <v/>
      </c>
    </row>
    <row r="28" spans="1:30" x14ac:dyDescent="0.3">
      <c r="G28" s="8" t="str">
        <f t="shared" si="0"/>
        <v/>
      </c>
      <c r="M28" s="9" t="str">
        <f t="shared" si="1"/>
        <v/>
      </c>
      <c r="S28" s="15" t="str">
        <f t="shared" si="2"/>
        <v/>
      </c>
      <c r="Y28" s="41" t="str">
        <f t="shared" si="3"/>
        <v/>
      </c>
    </row>
    <row r="29" spans="1:30" x14ac:dyDescent="0.3">
      <c r="G29" s="8" t="str">
        <f t="shared" si="0"/>
        <v/>
      </c>
      <c r="M29" s="9" t="str">
        <f t="shared" si="1"/>
        <v/>
      </c>
      <c r="S29" s="15" t="str">
        <f t="shared" si="2"/>
        <v/>
      </c>
      <c r="Y29" s="41" t="str">
        <f t="shared" si="3"/>
        <v/>
      </c>
    </row>
    <row r="30" spans="1:30" x14ac:dyDescent="0.3">
      <c r="G30" s="8" t="str">
        <f t="shared" si="0"/>
        <v/>
      </c>
      <c r="M30" s="9" t="str">
        <f t="shared" si="1"/>
        <v/>
      </c>
      <c r="S30" s="15" t="str">
        <f t="shared" si="2"/>
        <v/>
      </c>
      <c r="Y30" s="41" t="str">
        <f t="shared" si="3"/>
        <v/>
      </c>
    </row>
    <row r="31" spans="1:30" x14ac:dyDescent="0.3">
      <c r="G31" s="8" t="str">
        <f t="shared" si="0"/>
        <v/>
      </c>
      <c r="M31" s="9" t="str">
        <f t="shared" si="1"/>
        <v/>
      </c>
      <c r="S31" s="15" t="str">
        <f t="shared" si="2"/>
        <v/>
      </c>
      <c r="Y31" s="41" t="str">
        <f t="shared" si="3"/>
        <v/>
      </c>
    </row>
    <row r="32" spans="1:30" x14ac:dyDescent="0.3">
      <c r="G32" s="8" t="str">
        <f t="shared" si="0"/>
        <v/>
      </c>
      <c r="M32" s="9" t="str">
        <f t="shared" si="1"/>
        <v/>
      </c>
      <c r="S32" s="15" t="str">
        <f t="shared" si="2"/>
        <v/>
      </c>
      <c r="Y32" s="41" t="str">
        <f t="shared" si="3"/>
        <v/>
      </c>
    </row>
    <row r="33" spans="7:25" x14ac:dyDescent="0.3">
      <c r="G33" s="8" t="str">
        <f t="shared" si="0"/>
        <v/>
      </c>
      <c r="M33" s="9" t="str">
        <f t="shared" si="1"/>
        <v/>
      </c>
      <c r="S33" s="15" t="str">
        <f t="shared" si="2"/>
        <v/>
      </c>
      <c r="Y33" s="41" t="str">
        <f t="shared" si="3"/>
        <v/>
      </c>
    </row>
    <row r="34" spans="7:25" x14ac:dyDescent="0.3">
      <c r="G34" s="8" t="str">
        <f t="shared" si="0"/>
        <v/>
      </c>
      <c r="M34" s="9" t="str">
        <f t="shared" si="1"/>
        <v/>
      </c>
      <c r="S34" s="15" t="str">
        <f t="shared" si="2"/>
        <v/>
      </c>
      <c r="Y34" s="41" t="str">
        <f t="shared" si="3"/>
        <v/>
      </c>
    </row>
    <row r="35" spans="7:25" x14ac:dyDescent="0.3">
      <c r="G35" s="8" t="str">
        <f t="shared" si="0"/>
        <v/>
      </c>
      <c r="M35" s="9" t="str">
        <f t="shared" si="1"/>
        <v/>
      </c>
      <c r="S35" s="15" t="str">
        <f t="shared" si="2"/>
        <v/>
      </c>
      <c r="Y35" s="41" t="str">
        <f t="shared" si="3"/>
        <v/>
      </c>
    </row>
    <row r="36" spans="7:25" x14ac:dyDescent="0.3">
      <c r="G36" s="8" t="str">
        <f t="shared" si="0"/>
        <v/>
      </c>
      <c r="M36" s="9" t="str">
        <f t="shared" si="1"/>
        <v/>
      </c>
      <c r="S36" s="15" t="str">
        <f t="shared" si="2"/>
        <v/>
      </c>
      <c r="Y36" s="41" t="str">
        <f t="shared" si="3"/>
        <v/>
      </c>
    </row>
    <row r="37" spans="7:25" x14ac:dyDescent="0.3">
      <c r="G37" s="8" t="str">
        <f t="shared" si="0"/>
        <v/>
      </c>
      <c r="M37" s="9" t="str">
        <f t="shared" si="1"/>
        <v/>
      </c>
      <c r="S37" s="15" t="str">
        <f t="shared" si="2"/>
        <v/>
      </c>
      <c r="Y37" s="41" t="str">
        <f t="shared" si="3"/>
        <v/>
      </c>
    </row>
    <row r="38" spans="7:25" x14ac:dyDescent="0.3">
      <c r="G38" s="8" t="str">
        <f t="shared" si="0"/>
        <v/>
      </c>
      <c r="M38" s="9" t="str">
        <f t="shared" si="1"/>
        <v/>
      </c>
      <c r="S38" s="15" t="str">
        <f t="shared" si="2"/>
        <v/>
      </c>
      <c r="Y38" s="41" t="str">
        <f t="shared" si="3"/>
        <v/>
      </c>
    </row>
    <row r="39" spans="7:25" x14ac:dyDescent="0.3">
      <c r="G39" s="8" t="str">
        <f t="shared" si="0"/>
        <v/>
      </c>
      <c r="M39" s="9" t="str">
        <f t="shared" si="1"/>
        <v/>
      </c>
      <c r="S39" s="15" t="str">
        <f t="shared" si="2"/>
        <v/>
      </c>
      <c r="Y39" s="41" t="str">
        <f t="shared" si="3"/>
        <v/>
      </c>
    </row>
    <row r="40" spans="7:25" x14ac:dyDescent="0.3">
      <c r="G40" s="8" t="str">
        <f t="shared" si="0"/>
        <v/>
      </c>
      <c r="M40" s="9" t="str">
        <f t="shared" si="1"/>
        <v/>
      </c>
      <c r="S40" s="15" t="str">
        <f t="shared" si="2"/>
        <v/>
      </c>
      <c r="Y40" s="41" t="str">
        <f t="shared" si="3"/>
        <v/>
      </c>
    </row>
    <row r="41" spans="7:25" x14ac:dyDescent="0.3">
      <c r="G41" s="8" t="str">
        <f t="shared" si="0"/>
        <v/>
      </c>
      <c r="M41" s="9" t="str">
        <f t="shared" si="1"/>
        <v/>
      </c>
      <c r="S41" s="15" t="str">
        <f t="shared" si="2"/>
        <v/>
      </c>
      <c r="Y41" s="41" t="str">
        <f t="shared" si="3"/>
        <v/>
      </c>
    </row>
    <row r="42" spans="7:25" x14ac:dyDescent="0.3">
      <c r="G42" s="8" t="str">
        <f t="shared" si="0"/>
        <v/>
      </c>
      <c r="M42" s="9" t="str">
        <f t="shared" si="1"/>
        <v/>
      </c>
      <c r="S42" s="15" t="str">
        <f t="shared" si="2"/>
        <v/>
      </c>
      <c r="Y42" s="41" t="str">
        <f t="shared" si="3"/>
        <v/>
      </c>
    </row>
    <row r="43" spans="7:25" x14ac:dyDescent="0.3">
      <c r="G43" s="8" t="str">
        <f t="shared" si="0"/>
        <v/>
      </c>
      <c r="M43" s="9" t="str">
        <f t="shared" si="1"/>
        <v/>
      </c>
      <c r="S43" s="15" t="str">
        <f t="shared" si="2"/>
        <v/>
      </c>
      <c r="Y43" s="41" t="str">
        <f t="shared" si="3"/>
        <v/>
      </c>
    </row>
    <row r="44" spans="7:25" x14ac:dyDescent="0.3">
      <c r="G44" s="8" t="str">
        <f t="shared" si="0"/>
        <v/>
      </c>
      <c r="M44" s="9" t="str">
        <f t="shared" si="1"/>
        <v/>
      </c>
      <c r="S44" s="15" t="str">
        <f t="shared" si="2"/>
        <v/>
      </c>
      <c r="Y44" s="41" t="str">
        <f t="shared" si="3"/>
        <v/>
      </c>
    </row>
    <row r="45" spans="7:25" x14ac:dyDescent="0.3">
      <c r="G45" s="8" t="str">
        <f t="shared" si="0"/>
        <v/>
      </c>
      <c r="M45" s="9" t="str">
        <f t="shared" si="1"/>
        <v/>
      </c>
      <c r="S45" s="15" t="str">
        <f t="shared" si="2"/>
        <v/>
      </c>
      <c r="Y45" s="41" t="str">
        <f t="shared" si="3"/>
        <v/>
      </c>
    </row>
    <row r="46" spans="7:25" x14ac:dyDescent="0.3">
      <c r="G46" s="8" t="str">
        <f t="shared" si="0"/>
        <v/>
      </c>
      <c r="M46" s="9" t="str">
        <f t="shared" si="1"/>
        <v/>
      </c>
      <c r="S46" s="15" t="str">
        <f t="shared" si="2"/>
        <v/>
      </c>
      <c r="Y46" s="41" t="str">
        <f t="shared" si="3"/>
        <v/>
      </c>
    </row>
    <row r="47" spans="7:25" x14ac:dyDescent="0.3">
      <c r="G47" s="8" t="str">
        <f t="shared" si="0"/>
        <v/>
      </c>
      <c r="M47" s="9" t="str">
        <f t="shared" si="1"/>
        <v/>
      </c>
      <c r="S47" s="15" t="str">
        <f t="shared" si="2"/>
        <v/>
      </c>
      <c r="Y47" s="41" t="str">
        <f t="shared" si="3"/>
        <v/>
      </c>
    </row>
    <row r="48" spans="7:25" x14ac:dyDescent="0.3">
      <c r="G48" s="8" t="str">
        <f t="shared" si="0"/>
        <v/>
      </c>
      <c r="M48" s="9" t="str">
        <f t="shared" si="1"/>
        <v/>
      </c>
      <c r="S48" s="15" t="str">
        <f t="shared" si="2"/>
        <v/>
      </c>
      <c r="Y48" s="41" t="str">
        <f t="shared" si="3"/>
        <v/>
      </c>
    </row>
    <row r="49" spans="7:25" x14ac:dyDescent="0.3">
      <c r="G49" s="8" t="str">
        <f t="shared" si="0"/>
        <v/>
      </c>
      <c r="M49" s="9" t="str">
        <f t="shared" si="1"/>
        <v/>
      </c>
      <c r="S49" s="15" t="str">
        <f t="shared" si="2"/>
        <v/>
      </c>
      <c r="Y49" s="41" t="str">
        <f t="shared" si="3"/>
        <v/>
      </c>
    </row>
    <row r="50" spans="7:25" x14ac:dyDescent="0.3">
      <c r="G50" s="8" t="str">
        <f t="shared" si="0"/>
        <v/>
      </c>
      <c r="M50" s="9" t="str">
        <f t="shared" si="1"/>
        <v/>
      </c>
      <c r="S50" s="15" t="str">
        <f t="shared" si="2"/>
        <v/>
      </c>
      <c r="Y50" s="41" t="str">
        <f t="shared" si="3"/>
        <v/>
      </c>
    </row>
    <row r="51" spans="7:25" x14ac:dyDescent="0.3">
      <c r="G51" s="8" t="str">
        <f t="shared" si="0"/>
        <v/>
      </c>
      <c r="M51" s="9" t="str">
        <f t="shared" si="1"/>
        <v/>
      </c>
      <c r="S51" s="15" t="str">
        <f t="shared" si="2"/>
        <v/>
      </c>
      <c r="Y51" s="41" t="str">
        <f t="shared" si="3"/>
        <v/>
      </c>
    </row>
    <row r="52" spans="7:25" x14ac:dyDescent="0.3">
      <c r="G52" s="8" t="str">
        <f t="shared" si="0"/>
        <v/>
      </c>
      <c r="M52" s="9" t="str">
        <f t="shared" si="1"/>
        <v/>
      </c>
      <c r="S52" s="15" t="str">
        <f t="shared" si="2"/>
        <v/>
      </c>
      <c r="Y52" s="41" t="str">
        <f t="shared" si="3"/>
        <v/>
      </c>
    </row>
    <row r="53" spans="7:25" x14ac:dyDescent="0.3">
      <c r="G53" s="8" t="str">
        <f t="shared" si="0"/>
        <v/>
      </c>
      <c r="M53" s="9" t="str">
        <f t="shared" si="1"/>
        <v/>
      </c>
      <c r="S53" s="15" t="str">
        <f t="shared" si="2"/>
        <v/>
      </c>
      <c r="Y53" s="41" t="str">
        <f t="shared" si="3"/>
        <v/>
      </c>
    </row>
    <row r="54" spans="7:25" x14ac:dyDescent="0.3">
      <c r="G54" s="8" t="str">
        <f t="shared" si="0"/>
        <v/>
      </c>
      <c r="M54" s="9" t="str">
        <f t="shared" si="1"/>
        <v/>
      </c>
      <c r="S54" s="15" t="str">
        <f t="shared" si="2"/>
        <v/>
      </c>
      <c r="Y54" s="41" t="str">
        <f t="shared" si="3"/>
        <v/>
      </c>
    </row>
    <row r="55" spans="7:25" x14ac:dyDescent="0.3">
      <c r="G55" s="8" t="str">
        <f t="shared" si="0"/>
        <v/>
      </c>
      <c r="M55" s="9" t="str">
        <f t="shared" si="1"/>
        <v/>
      </c>
      <c r="S55" s="15" t="str">
        <f t="shared" si="2"/>
        <v/>
      </c>
      <c r="Y55" s="41" t="str">
        <f t="shared" si="3"/>
        <v/>
      </c>
    </row>
    <row r="56" spans="7:25" x14ac:dyDescent="0.3">
      <c r="G56" s="8" t="str">
        <f t="shared" si="0"/>
        <v/>
      </c>
      <c r="M56" s="9" t="str">
        <f t="shared" si="1"/>
        <v/>
      </c>
      <c r="S56" s="15" t="str">
        <f t="shared" si="2"/>
        <v/>
      </c>
      <c r="Y56" s="41" t="str">
        <f t="shared" si="3"/>
        <v/>
      </c>
    </row>
    <row r="57" spans="7:25" x14ac:dyDescent="0.3">
      <c r="G57" s="8" t="str">
        <f t="shared" si="0"/>
        <v/>
      </c>
      <c r="M57" s="9" t="str">
        <f t="shared" si="1"/>
        <v/>
      </c>
      <c r="S57" s="15" t="str">
        <f t="shared" si="2"/>
        <v/>
      </c>
      <c r="Y57" s="41" t="str">
        <f t="shared" si="3"/>
        <v/>
      </c>
    </row>
    <row r="58" spans="7:25" x14ac:dyDescent="0.3">
      <c r="G58" s="8" t="str">
        <f t="shared" si="0"/>
        <v/>
      </c>
      <c r="M58" s="9" t="str">
        <f t="shared" si="1"/>
        <v/>
      </c>
      <c r="S58" s="15" t="str">
        <f t="shared" si="2"/>
        <v/>
      </c>
      <c r="Y58" s="41" t="str">
        <f t="shared" si="3"/>
        <v/>
      </c>
    </row>
    <row r="59" spans="7:25" x14ac:dyDescent="0.3">
      <c r="G59" s="8" t="str">
        <f t="shared" si="0"/>
        <v/>
      </c>
      <c r="M59" s="9" t="str">
        <f t="shared" si="1"/>
        <v/>
      </c>
      <c r="S59" s="15" t="str">
        <f t="shared" si="2"/>
        <v/>
      </c>
      <c r="Y59" s="41" t="str">
        <f t="shared" si="3"/>
        <v/>
      </c>
    </row>
    <row r="60" spans="7:25" x14ac:dyDescent="0.3">
      <c r="G60" s="8" t="str">
        <f t="shared" si="0"/>
        <v/>
      </c>
      <c r="M60" s="9" t="str">
        <f t="shared" si="1"/>
        <v/>
      </c>
      <c r="S60" s="15" t="str">
        <f t="shared" si="2"/>
        <v/>
      </c>
      <c r="Y60" s="41" t="str">
        <f t="shared" si="3"/>
        <v/>
      </c>
    </row>
    <row r="61" spans="7:25" x14ac:dyDescent="0.3">
      <c r="G61" s="8" t="str">
        <f t="shared" si="0"/>
        <v/>
      </c>
      <c r="M61" s="9" t="str">
        <f t="shared" si="1"/>
        <v/>
      </c>
      <c r="S61" s="15" t="str">
        <f t="shared" si="2"/>
        <v/>
      </c>
      <c r="Y61" s="41" t="str">
        <f t="shared" si="3"/>
        <v/>
      </c>
    </row>
    <row r="62" spans="7:25" x14ac:dyDescent="0.3">
      <c r="G62" s="8" t="str">
        <f t="shared" si="0"/>
        <v/>
      </c>
      <c r="M62" s="9" t="str">
        <f t="shared" si="1"/>
        <v/>
      </c>
      <c r="S62" s="15" t="str">
        <f t="shared" si="2"/>
        <v/>
      </c>
      <c r="Y62" s="41" t="str">
        <f t="shared" si="3"/>
        <v/>
      </c>
    </row>
    <row r="63" spans="7:25" x14ac:dyDescent="0.3">
      <c r="G63" s="8" t="str">
        <f t="shared" si="0"/>
        <v/>
      </c>
      <c r="M63" s="9" t="str">
        <f t="shared" si="1"/>
        <v/>
      </c>
      <c r="S63" s="15" t="str">
        <f t="shared" si="2"/>
        <v/>
      </c>
      <c r="Y63" s="41" t="str">
        <f t="shared" si="3"/>
        <v/>
      </c>
    </row>
    <row r="64" spans="7:25" x14ac:dyDescent="0.3">
      <c r="G64" s="8" t="str">
        <f t="shared" si="0"/>
        <v/>
      </c>
      <c r="M64" s="9" t="str">
        <f t="shared" si="1"/>
        <v/>
      </c>
      <c r="S64" s="15" t="str">
        <f t="shared" si="2"/>
        <v/>
      </c>
      <c r="Y64" s="41" t="str">
        <f t="shared" si="3"/>
        <v/>
      </c>
    </row>
    <row r="65" spans="7:25" x14ac:dyDescent="0.3">
      <c r="G65" s="8" t="str">
        <f t="shared" si="0"/>
        <v/>
      </c>
      <c r="M65" s="9" t="str">
        <f t="shared" si="1"/>
        <v/>
      </c>
      <c r="S65" s="15" t="str">
        <f t="shared" si="2"/>
        <v/>
      </c>
      <c r="Y65" s="41" t="str">
        <f t="shared" si="3"/>
        <v/>
      </c>
    </row>
    <row r="66" spans="7:25" x14ac:dyDescent="0.3">
      <c r="G66" s="8" t="str">
        <f t="shared" si="0"/>
        <v/>
      </c>
      <c r="M66" s="9" t="str">
        <f t="shared" si="1"/>
        <v/>
      </c>
      <c r="S66" s="15" t="str">
        <f t="shared" si="2"/>
        <v/>
      </c>
      <c r="Y66" s="41" t="str">
        <f t="shared" si="3"/>
        <v/>
      </c>
    </row>
    <row r="67" spans="7:25" x14ac:dyDescent="0.3">
      <c r="G67" s="8" t="str">
        <f t="shared" si="0"/>
        <v/>
      </c>
      <c r="M67" s="9" t="str">
        <f t="shared" si="1"/>
        <v/>
      </c>
      <c r="S67" s="15" t="str">
        <f t="shared" si="2"/>
        <v/>
      </c>
      <c r="Y67" s="41" t="str">
        <f t="shared" si="3"/>
        <v/>
      </c>
    </row>
    <row r="68" spans="7:25" x14ac:dyDescent="0.3">
      <c r="G68" s="8" t="str">
        <f t="shared" si="0"/>
        <v/>
      </c>
      <c r="M68" s="9" t="str">
        <f t="shared" si="1"/>
        <v/>
      </c>
      <c r="S68" s="15" t="str">
        <f t="shared" si="2"/>
        <v/>
      </c>
      <c r="Y68" s="41" t="str">
        <f t="shared" si="3"/>
        <v/>
      </c>
    </row>
    <row r="69" spans="7:25" x14ac:dyDescent="0.3">
      <c r="G69" s="8" t="str">
        <f t="shared" si="0"/>
        <v/>
      </c>
      <c r="M69" s="9" t="str">
        <f t="shared" si="1"/>
        <v/>
      </c>
      <c r="S69" s="15" t="str">
        <f t="shared" si="2"/>
        <v/>
      </c>
      <c r="Y69" s="41" t="str">
        <f t="shared" si="3"/>
        <v/>
      </c>
    </row>
    <row r="70" spans="7:25" x14ac:dyDescent="0.3">
      <c r="G70" s="8" t="str">
        <f t="shared" si="0"/>
        <v/>
      </c>
      <c r="M70" s="9" t="str">
        <f t="shared" si="1"/>
        <v/>
      </c>
      <c r="S70" s="15" t="str">
        <f t="shared" si="2"/>
        <v/>
      </c>
      <c r="Y70" s="41" t="str">
        <f t="shared" si="3"/>
        <v/>
      </c>
    </row>
    <row r="71" spans="7:25" x14ac:dyDescent="0.3">
      <c r="G71" s="8" t="str">
        <f t="shared" si="0"/>
        <v/>
      </c>
      <c r="M71" s="9" t="str">
        <f t="shared" si="1"/>
        <v/>
      </c>
      <c r="S71" s="15" t="str">
        <f t="shared" si="2"/>
        <v/>
      </c>
      <c r="Y71" s="41" t="str">
        <f t="shared" si="3"/>
        <v/>
      </c>
    </row>
    <row r="72" spans="7:25" x14ac:dyDescent="0.3">
      <c r="G72" s="8" t="str">
        <f t="shared" ref="G72:G88" si="4">IF(ISNUMBER(A72),A72,"")</f>
        <v/>
      </c>
      <c r="M72" s="9" t="str">
        <f t="shared" ref="M72:M88" si="5">IF(ISNUMBER(G72),G72,"")</f>
        <v/>
      </c>
      <c r="S72" s="15" t="str">
        <f t="shared" si="2"/>
        <v/>
      </c>
      <c r="Y72" s="41" t="str">
        <f t="shared" si="3"/>
        <v/>
      </c>
    </row>
    <row r="73" spans="7:25" x14ac:dyDescent="0.3">
      <c r="G73" s="8" t="str">
        <f t="shared" si="4"/>
        <v/>
      </c>
      <c r="M73" s="9" t="str">
        <f t="shared" si="5"/>
        <v/>
      </c>
      <c r="S73" s="15" t="str">
        <f t="shared" si="2"/>
        <v/>
      </c>
      <c r="Y73" s="41" t="str">
        <f t="shared" si="3"/>
        <v/>
      </c>
    </row>
    <row r="74" spans="7:25" x14ac:dyDescent="0.3">
      <c r="G74" s="8" t="str">
        <f t="shared" si="4"/>
        <v/>
      </c>
      <c r="M74" s="9" t="str">
        <f t="shared" si="5"/>
        <v/>
      </c>
      <c r="S74" s="15" t="str">
        <f t="shared" si="2"/>
        <v/>
      </c>
      <c r="Y74" s="41" t="str">
        <f t="shared" si="3"/>
        <v/>
      </c>
    </row>
    <row r="75" spans="7:25" x14ac:dyDescent="0.3">
      <c r="G75" s="8" t="str">
        <f t="shared" si="4"/>
        <v/>
      </c>
      <c r="M75" s="9" t="str">
        <f t="shared" si="5"/>
        <v/>
      </c>
      <c r="S75" s="15" t="str">
        <f t="shared" si="2"/>
        <v/>
      </c>
      <c r="Y75" s="41" t="str">
        <f t="shared" si="3"/>
        <v/>
      </c>
    </row>
    <row r="76" spans="7:25" x14ac:dyDescent="0.3">
      <c r="G76" s="8" t="str">
        <f t="shared" si="4"/>
        <v/>
      </c>
      <c r="M76" s="9" t="str">
        <f t="shared" si="5"/>
        <v/>
      </c>
      <c r="S76" s="15" t="str">
        <f t="shared" si="2"/>
        <v/>
      </c>
      <c r="Y76" s="41" t="str">
        <f t="shared" si="3"/>
        <v/>
      </c>
    </row>
    <row r="77" spans="7:25" x14ac:dyDescent="0.3">
      <c r="G77" s="8" t="str">
        <f t="shared" si="4"/>
        <v/>
      </c>
      <c r="M77" s="9" t="str">
        <f t="shared" si="5"/>
        <v/>
      </c>
      <c r="S77" s="15" t="str">
        <f t="shared" si="2"/>
        <v/>
      </c>
      <c r="Y77" s="41" t="str">
        <f t="shared" si="3"/>
        <v/>
      </c>
    </row>
    <row r="78" spans="7:25" x14ac:dyDescent="0.3">
      <c r="G78" s="8" t="str">
        <f t="shared" si="4"/>
        <v/>
      </c>
      <c r="M78" s="9" t="str">
        <f t="shared" si="5"/>
        <v/>
      </c>
      <c r="S78" s="15" t="str">
        <f t="shared" ref="S78:S88" si="6">IF(ISNUMBER(M78),M78,"")</f>
        <v/>
      </c>
      <c r="Y78" s="41" t="str">
        <f t="shared" si="3"/>
        <v/>
      </c>
    </row>
    <row r="79" spans="7:25" x14ac:dyDescent="0.3">
      <c r="G79" s="8" t="str">
        <f t="shared" si="4"/>
        <v/>
      </c>
      <c r="M79" s="9" t="str">
        <f t="shared" si="5"/>
        <v/>
      </c>
      <c r="S79" s="15" t="str">
        <f t="shared" si="6"/>
        <v/>
      </c>
      <c r="Y79" s="41" t="str">
        <f t="shared" si="3"/>
        <v/>
      </c>
    </row>
    <row r="80" spans="7:25" x14ac:dyDescent="0.3">
      <c r="G80" s="8" t="str">
        <f t="shared" si="4"/>
        <v/>
      </c>
      <c r="M80" s="9" t="str">
        <f t="shared" si="5"/>
        <v/>
      </c>
      <c r="S80" s="15" t="str">
        <f t="shared" si="6"/>
        <v/>
      </c>
      <c r="Y80" s="41" t="str">
        <f t="shared" si="3"/>
        <v/>
      </c>
    </row>
    <row r="81" spans="7:25" x14ac:dyDescent="0.3">
      <c r="G81" s="8" t="str">
        <f t="shared" si="4"/>
        <v/>
      </c>
      <c r="M81" s="9" t="str">
        <f t="shared" si="5"/>
        <v/>
      </c>
      <c r="S81" s="15" t="str">
        <f t="shared" si="6"/>
        <v/>
      </c>
      <c r="Y81" s="41" t="str">
        <f t="shared" si="3"/>
        <v/>
      </c>
    </row>
    <row r="82" spans="7:25" x14ac:dyDescent="0.3">
      <c r="G82" s="8" t="str">
        <f t="shared" si="4"/>
        <v/>
      </c>
      <c r="M82" s="9" t="str">
        <f t="shared" si="5"/>
        <v/>
      </c>
      <c r="S82" s="15" t="str">
        <f t="shared" si="6"/>
        <v/>
      </c>
      <c r="Y82" s="41" t="str">
        <f t="shared" si="3"/>
        <v/>
      </c>
    </row>
    <row r="83" spans="7:25" x14ac:dyDescent="0.3">
      <c r="G83" s="8" t="str">
        <f t="shared" si="4"/>
        <v/>
      </c>
      <c r="M83" s="9" t="str">
        <f t="shared" si="5"/>
        <v/>
      </c>
      <c r="S83" s="15" t="str">
        <f t="shared" si="6"/>
        <v/>
      </c>
      <c r="Y83" s="41" t="str">
        <f t="shared" si="3"/>
        <v/>
      </c>
    </row>
    <row r="84" spans="7:25" x14ac:dyDescent="0.3">
      <c r="G84" s="8" t="str">
        <f t="shared" si="4"/>
        <v/>
      </c>
      <c r="M84" s="9" t="str">
        <f t="shared" si="5"/>
        <v/>
      </c>
      <c r="S84" s="15" t="str">
        <f t="shared" si="6"/>
        <v/>
      </c>
      <c r="Y84" s="41" t="str">
        <f t="shared" si="3"/>
        <v/>
      </c>
    </row>
    <row r="85" spans="7:25" x14ac:dyDescent="0.3">
      <c r="G85" s="8" t="str">
        <f t="shared" si="4"/>
        <v/>
      </c>
      <c r="M85" s="9" t="str">
        <f t="shared" si="5"/>
        <v/>
      </c>
      <c r="S85" s="15" t="str">
        <f t="shared" si="6"/>
        <v/>
      </c>
      <c r="Y85" s="41" t="str">
        <f t="shared" si="3"/>
        <v/>
      </c>
    </row>
    <row r="86" spans="7:25" x14ac:dyDescent="0.3">
      <c r="G86" s="8" t="str">
        <f t="shared" si="4"/>
        <v/>
      </c>
      <c r="M86" s="9" t="str">
        <f t="shared" si="5"/>
        <v/>
      </c>
      <c r="S86" s="15" t="str">
        <f t="shared" si="6"/>
        <v/>
      </c>
      <c r="Y86" s="41" t="str">
        <f t="shared" si="3"/>
        <v/>
      </c>
    </row>
    <row r="87" spans="7:25" x14ac:dyDescent="0.3">
      <c r="G87" s="8" t="str">
        <f t="shared" si="4"/>
        <v/>
      </c>
      <c r="M87" s="9" t="str">
        <f t="shared" si="5"/>
        <v/>
      </c>
      <c r="S87" s="15" t="str">
        <f t="shared" si="6"/>
        <v/>
      </c>
      <c r="Y87" s="41" t="str">
        <f t="shared" si="3"/>
        <v/>
      </c>
    </row>
    <row r="88" spans="7:25" x14ac:dyDescent="0.3">
      <c r="G88" s="8" t="str">
        <f t="shared" si="4"/>
        <v/>
      </c>
      <c r="M88" s="9" t="str">
        <f t="shared" si="5"/>
        <v/>
      </c>
      <c r="S88" s="15" t="str">
        <f t="shared" si="6"/>
        <v/>
      </c>
      <c r="Y88" s="41" t="str">
        <f t="shared" si="3"/>
        <v/>
      </c>
    </row>
  </sheetData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4"/>
  <sheetViews>
    <sheetView topLeftCell="E4" workbookViewId="0">
      <selection activeCell="N39" sqref="N39"/>
    </sheetView>
  </sheetViews>
  <sheetFormatPr defaultColWidth="9.1796875" defaultRowHeight="13" x14ac:dyDescent="0.3"/>
  <cols>
    <col min="1" max="1" width="10.1796875" style="103" bestFit="1" customWidth="1"/>
    <col min="2" max="2" width="17.26953125" style="102" customWidth="1"/>
    <col min="3" max="5" width="9.1796875" style="103"/>
    <col min="6" max="6" width="9.1796875" style="101"/>
    <col min="7" max="7" width="9.1796875" style="106"/>
    <col min="8" max="8" width="9.1796875" style="105"/>
    <col min="9" max="12" width="9.1796875" style="106"/>
    <col min="13" max="13" width="9.1796875" style="109"/>
    <col min="14" max="14" width="12.26953125" style="108" customWidth="1"/>
    <col min="15" max="18" width="9.1796875" style="109"/>
    <col min="19" max="16384" width="9.1796875" style="111"/>
  </cols>
  <sheetData>
    <row r="1" spans="1:42" x14ac:dyDescent="0.3">
      <c r="A1" s="101" t="s">
        <v>29</v>
      </c>
      <c r="G1" s="104" t="s">
        <v>30</v>
      </c>
      <c r="M1" s="107" t="s">
        <v>31</v>
      </c>
      <c r="S1" s="110" t="s">
        <v>105</v>
      </c>
    </row>
    <row r="2" spans="1:42" x14ac:dyDescent="0.3">
      <c r="S2" s="112" t="s">
        <v>221</v>
      </c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4"/>
    </row>
    <row r="3" spans="1:42" x14ac:dyDescent="0.3">
      <c r="A3" s="103" t="s">
        <v>0</v>
      </c>
      <c r="B3" s="102" t="s">
        <v>1</v>
      </c>
      <c r="C3" s="103" t="s">
        <v>2</v>
      </c>
      <c r="D3" s="103" t="s">
        <v>4</v>
      </c>
      <c r="E3" s="103" t="s">
        <v>6</v>
      </c>
      <c r="F3" s="101" t="s">
        <v>6</v>
      </c>
      <c r="G3" s="106" t="s">
        <v>0</v>
      </c>
      <c r="H3" s="105" t="s">
        <v>1</v>
      </c>
      <c r="I3" s="106" t="s">
        <v>2</v>
      </c>
      <c r="J3" s="106" t="s">
        <v>4</v>
      </c>
      <c r="K3" s="106" t="s">
        <v>6</v>
      </c>
      <c r="L3" s="104" t="s">
        <v>6</v>
      </c>
      <c r="M3" s="109" t="s">
        <v>0</v>
      </c>
      <c r="N3" s="108" t="s">
        <v>1</v>
      </c>
      <c r="O3" s="109" t="s">
        <v>2</v>
      </c>
      <c r="P3" s="109" t="s">
        <v>4</v>
      </c>
      <c r="Q3" s="109" t="s">
        <v>6</v>
      </c>
      <c r="R3" s="107" t="s">
        <v>6</v>
      </c>
      <c r="S3" s="115" t="s">
        <v>222</v>
      </c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7"/>
    </row>
    <row r="4" spans="1:42" x14ac:dyDescent="0.3">
      <c r="C4" s="103" t="s">
        <v>3</v>
      </c>
      <c r="D4" s="103" t="s">
        <v>5</v>
      </c>
      <c r="E4" s="103" t="s">
        <v>7</v>
      </c>
      <c r="F4" s="101" t="s">
        <v>9</v>
      </c>
      <c r="I4" s="106" t="s">
        <v>3</v>
      </c>
      <c r="J4" s="106" t="s">
        <v>5</v>
      </c>
      <c r="K4" s="106" t="s">
        <v>7</v>
      </c>
      <c r="L4" s="104" t="s">
        <v>9</v>
      </c>
      <c r="O4" s="109" t="s">
        <v>3</v>
      </c>
      <c r="P4" s="109" t="s">
        <v>5</v>
      </c>
      <c r="Q4" s="109" t="s">
        <v>7</v>
      </c>
      <c r="R4" s="107" t="s">
        <v>9</v>
      </c>
      <c r="S4" s="115" t="s">
        <v>223</v>
      </c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</row>
    <row r="5" spans="1:42" x14ac:dyDescent="0.3">
      <c r="E5" s="103" t="s">
        <v>8</v>
      </c>
      <c r="F5" s="101" t="s">
        <v>8</v>
      </c>
      <c r="K5" s="106" t="s">
        <v>8</v>
      </c>
      <c r="L5" s="104" t="s">
        <v>8</v>
      </c>
      <c r="Q5" s="109" t="s">
        <v>8</v>
      </c>
      <c r="R5" s="107" t="s">
        <v>8</v>
      </c>
      <c r="S5" s="115" t="s">
        <v>224</v>
      </c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</row>
    <row r="6" spans="1:42" x14ac:dyDescent="0.3">
      <c r="S6" s="115" t="s">
        <v>225</v>
      </c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</row>
    <row r="7" spans="1:42" x14ac:dyDescent="0.3">
      <c r="A7" s="118">
        <v>31955</v>
      </c>
      <c r="B7" s="119" t="s">
        <v>53</v>
      </c>
      <c r="C7" s="120">
        <v>1.95</v>
      </c>
      <c r="D7" s="121">
        <v>1</v>
      </c>
      <c r="E7" s="121">
        <v>68.569999999999993</v>
      </c>
      <c r="F7" s="122">
        <f>E7+C7</f>
        <v>70.52</v>
      </c>
      <c r="G7" s="123">
        <f>IF(ISNUMBER(A7),A7,"")</f>
        <v>31955</v>
      </c>
      <c r="H7" s="105" t="s">
        <v>33</v>
      </c>
      <c r="I7" s="106">
        <v>6.1</v>
      </c>
      <c r="J7" s="106">
        <v>2</v>
      </c>
      <c r="K7" s="106">
        <v>53.49</v>
      </c>
      <c r="L7" s="124">
        <f t="shared" ref="L7:L22" si="0">K7+I7</f>
        <v>59.59</v>
      </c>
      <c r="M7" s="125">
        <f>IF(ISNUMBER(G7),G7,"")</f>
        <v>31955</v>
      </c>
      <c r="N7" s="108" t="s">
        <v>35</v>
      </c>
      <c r="O7" s="126">
        <v>6.7</v>
      </c>
      <c r="P7" s="109">
        <v>3</v>
      </c>
      <c r="Q7" s="109">
        <v>49.5</v>
      </c>
      <c r="R7" s="127">
        <f>Q7+O7</f>
        <v>56.2</v>
      </c>
      <c r="S7" s="115" t="s">
        <v>226</v>
      </c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7"/>
    </row>
    <row r="8" spans="1:42" x14ac:dyDescent="0.3">
      <c r="A8" s="118">
        <v>33016</v>
      </c>
      <c r="B8" s="119" t="s">
        <v>53</v>
      </c>
      <c r="C8" s="120">
        <v>0.74</v>
      </c>
      <c r="D8" s="121">
        <v>1</v>
      </c>
      <c r="E8" s="121">
        <v>68.569999999999993</v>
      </c>
      <c r="F8" s="122">
        <f t="shared" ref="F8:F31" si="1">E8+C8</f>
        <v>69.309999999999988</v>
      </c>
      <c r="G8" s="123">
        <f t="shared" ref="G8:G75" si="2">IF(ISNUMBER(A8),A8,"")</f>
        <v>33016</v>
      </c>
      <c r="H8" s="105" t="s">
        <v>69</v>
      </c>
      <c r="I8" s="106">
        <v>0.71</v>
      </c>
      <c r="J8" s="106">
        <v>2</v>
      </c>
      <c r="K8" s="106">
        <f>53.49+3.07+2.1</f>
        <v>58.660000000000004</v>
      </c>
      <c r="L8" s="124">
        <f t="shared" si="0"/>
        <v>59.370000000000005</v>
      </c>
      <c r="M8" s="125">
        <f t="shared" ref="M8:M75" si="3">IF(ISNUMBER(G8),G8,"")</f>
        <v>33016</v>
      </c>
      <c r="N8" s="108" t="s">
        <v>70</v>
      </c>
      <c r="O8" s="126">
        <v>0.42</v>
      </c>
      <c r="P8" s="109">
        <v>3</v>
      </c>
      <c r="Q8" s="109">
        <f>49.5+3.74+2.29</f>
        <v>55.53</v>
      </c>
      <c r="R8" s="127">
        <f>Q8+O8</f>
        <v>55.95</v>
      </c>
      <c r="S8" s="115" t="s">
        <v>227</v>
      </c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7"/>
    </row>
    <row r="9" spans="1:42" x14ac:dyDescent="0.3">
      <c r="A9" s="118">
        <v>34902</v>
      </c>
      <c r="B9" s="119" t="s">
        <v>67</v>
      </c>
      <c r="C9" s="120">
        <v>10.15</v>
      </c>
      <c r="D9" s="121">
        <v>1</v>
      </c>
      <c r="E9" s="128">
        <v>57.03</v>
      </c>
      <c r="F9" s="122">
        <f t="shared" si="1"/>
        <v>67.180000000000007</v>
      </c>
      <c r="G9" s="123">
        <f t="shared" si="2"/>
        <v>34902</v>
      </c>
      <c r="H9" s="105" t="s">
        <v>69</v>
      </c>
      <c r="I9" s="106">
        <v>0.57999999999999996</v>
      </c>
      <c r="J9" s="106">
        <v>2</v>
      </c>
      <c r="K9" s="106">
        <f>53.49+3.07+2.1</f>
        <v>58.660000000000004</v>
      </c>
      <c r="L9" s="124">
        <f t="shared" si="0"/>
        <v>59.24</v>
      </c>
      <c r="M9" s="125">
        <f t="shared" si="3"/>
        <v>34902</v>
      </c>
      <c r="N9" s="108" t="s">
        <v>70</v>
      </c>
      <c r="O9" s="126">
        <v>0.22</v>
      </c>
      <c r="P9" s="109">
        <v>3</v>
      </c>
      <c r="Q9" s="109">
        <f>49.5+3.74+2.29</f>
        <v>55.53</v>
      </c>
      <c r="R9" s="127">
        <f>Q9+O9</f>
        <v>55.75</v>
      </c>
      <c r="S9" s="115" t="s">
        <v>228</v>
      </c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7"/>
    </row>
    <row r="10" spans="1:42" x14ac:dyDescent="0.3">
      <c r="A10" s="118">
        <v>36349</v>
      </c>
      <c r="B10" s="119" t="s">
        <v>32</v>
      </c>
      <c r="C10" s="120">
        <v>10.039999999999999</v>
      </c>
      <c r="D10" s="121">
        <v>1</v>
      </c>
      <c r="E10" s="121">
        <v>57.03</v>
      </c>
      <c r="F10" s="122">
        <f t="shared" si="1"/>
        <v>67.069999999999993</v>
      </c>
      <c r="G10" s="123">
        <f t="shared" si="2"/>
        <v>36349</v>
      </c>
      <c r="H10" s="105" t="s">
        <v>69</v>
      </c>
      <c r="I10" s="106">
        <v>0.56000000000000005</v>
      </c>
      <c r="J10" s="106">
        <v>2</v>
      </c>
      <c r="K10" s="106">
        <f>53.49+3.07+2.1</f>
        <v>58.660000000000004</v>
      </c>
      <c r="L10" s="124">
        <f t="shared" si="0"/>
        <v>59.220000000000006</v>
      </c>
      <c r="M10" s="125">
        <v>35658</v>
      </c>
      <c r="N10" s="108" t="s">
        <v>70</v>
      </c>
      <c r="O10" s="126">
        <v>0.11</v>
      </c>
      <c r="P10" s="109">
        <v>3</v>
      </c>
      <c r="Q10" s="109">
        <f>49.5+3.74+2.29</f>
        <v>55.53</v>
      </c>
      <c r="R10" s="127">
        <f>Q10+O10</f>
        <v>55.64</v>
      </c>
      <c r="S10" s="115" t="s">
        <v>229</v>
      </c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7"/>
    </row>
    <row r="11" spans="1:42" x14ac:dyDescent="0.3">
      <c r="A11" s="118">
        <v>36716</v>
      </c>
      <c r="B11" s="119" t="s">
        <v>230</v>
      </c>
      <c r="C11" s="120">
        <v>9.1</v>
      </c>
      <c r="D11" s="121">
        <v>1</v>
      </c>
      <c r="E11" s="121">
        <v>57.96</v>
      </c>
      <c r="F11" s="122">
        <f t="shared" si="1"/>
        <v>67.06</v>
      </c>
      <c r="G11" s="123">
        <f t="shared" si="2"/>
        <v>36716</v>
      </c>
      <c r="H11" s="105" t="s">
        <v>33</v>
      </c>
      <c r="I11" s="106">
        <v>5.75</v>
      </c>
      <c r="J11" s="106">
        <v>2</v>
      </c>
      <c r="K11" s="106">
        <v>53.49</v>
      </c>
      <c r="L11" s="124">
        <f t="shared" si="0"/>
        <v>59.24</v>
      </c>
      <c r="M11" s="125">
        <f t="shared" si="3"/>
        <v>36716</v>
      </c>
      <c r="N11" s="108">
        <v>3</v>
      </c>
      <c r="O11" s="126">
        <v>55.18</v>
      </c>
      <c r="P11" s="109">
        <v>3</v>
      </c>
      <c r="Q11" s="109">
        <v>0</v>
      </c>
      <c r="R11" s="127">
        <f>Q11+O11</f>
        <v>55.18</v>
      </c>
      <c r="S11" s="129" t="s">
        <v>231</v>
      </c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1"/>
    </row>
    <row r="12" spans="1:42" x14ac:dyDescent="0.3">
      <c r="A12" s="118">
        <v>37827</v>
      </c>
      <c r="B12" s="119" t="s">
        <v>85</v>
      </c>
      <c r="C12" s="120">
        <v>9.0500000000000007</v>
      </c>
      <c r="D12" s="121">
        <v>1</v>
      </c>
      <c r="E12" s="121"/>
      <c r="F12" s="122"/>
      <c r="G12" s="123">
        <f t="shared" si="2"/>
        <v>37827</v>
      </c>
      <c r="H12" s="132" t="s">
        <v>91</v>
      </c>
      <c r="I12" s="132">
        <v>5.65</v>
      </c>
      <c r="J12" s="106">
        <v>2</v>
      </c>
      <c r="K12" s="106">
        <v>53.49</v>
      </c>
      <c r="L12" s="124">
        <f t="shared" si="0"/>
        <v>59.14</v>
      </c>
      <c r="M12" s="125">
        <f t="shared" si="3"/>
        <v>37827</v>
      </c>
      <c r="N12" s="133" t="s">
        <v>104</v>
      </c>
      <c r="O12" s="134" t="s">
        <v>82</v>
      </c>
      <c r="P12" s="109">
        <v>3</v>
      </c>
      <c r="Q12" s="108" t="s">
        <v>83</v>
      </c>
      <c r="R12" s="135" t="s">
        <v>84</v>
      </c>
      <c r="S12" s="110" t="s">
        <v>103</v>
      </c>
    </row>
    <row r="13" spans="1:42" x14ac:dyDescent="0.3">
      <c r="A13" s="118">
        <v>38196</v>
      </c>
      <c r="B13" s="119" t="s">
        <v>232</v>
      </c>
      <c r="C13" s="120">
        <v>8.09</v>
      </c>
      <c r="D13" s="121">
        <v>1</v>
      </c>
      <c r="E13" s="121">
        <v>57.96</v>
      </c>
      <c r="F13" s="122">
        <f t="shared" si="1"/>
        <v>66.05</v>
      </c>
      <c r="G13" s="123">
        <f t="shared" si="2"/>
        <v>38196</v>
      </c>
      <c r="H13" s="105" t="s">
        <v>33</v>
      </c>
      <c r="I13" s="106">
        <v>5.65</v>
      </c>
      <c r="J13" s="106">
        <v>2</v>
      </c>
      <c r="K13" s="106">
        <v>53.49</v>
      </c>
      <c r="L13" s="124">
        <f t="shared" si="0"/>
        <v>59.14</v>
      </c>
      <c r="M13" s="125">
        <f t="shared" si="3"/>
        <v>38196</v>
      </c>
      <c r="N13" s="108" t="s">
        <v>71</v>
      </c>
      <c r="O13" s="126">
        <v>1.93</v>
      </c>
      <c r="P13" s="109">
        <v>3</v>
      </c>
      <c r="R13" s="127"/>
    </row>
    <row r="14" spans="1:42" x14ac:dyDescent="0.3">
      <c r="A14" s="118">
        <v>38559</v>
      </c>
      <c r="B14" s="119" t="s">
        <v>72</v>
      </c>
      <c r="C14" s="120">
        <v>9.0299999999999994</v>
      </c>
      <c r="D14" s="121">
        <v>1</v>
      </c>
      <c r="E14" s="121">
        <v>57.03</v>
      </c>
      <c r="F14" s="122">
        <f t="shared" si="1"/>
        <v>66.06</v>
      </c>
      <c r="G14" s="123">
        <f t="shared" si="2"/>
        <v>38559</v>
      </c>
      <c r="H14" s="105" t="s">
        <v>33</v>
      </c>
      <c r="I14" s="106">
        <v>5.71</v>
      </c>
      <c r="J14" s="106">
        <v>2</v>
      </c>
      <c r="K14" s="106">
        <v>53.49</v>
      </c>
      <c r="L14" s="124">
        <f t="shared" si="0"/>
        <v>59.2</v>
      </c>
      <c r="M14" s="125">
        <f t="shared" si="3"/>
        <v>38559</v>
      </c>
      <c r="N14" s="108" t="s">
        <v>71</v>
      </c>
      <c r="O14" s="126">
        <v>1.96</v>
      </c>
      <c r="P14" s="109">
        <v>3</v>
      </c>
      <c r="R14" s="127"/>
    </row>
    <row r="15" spans="1:42" x14ac:dyDescent="0.3">
      <c r="A15" s="118">
        <v>38921</v>
      </c>
      <c r="B15" s="119" t="s">
        <v>89</v>
      </c>
      <c r="C15" s="120">
        <v>8.09</v>
      </c>
      <c r="D15" s="121">
        <v>1</v>
      </c>
      <c r="E15" s="121">
        <v>57.96</v>
      </c>
      <c r="F15" s="122">
        <f t="shared" si="1"/>
        <v>66.05</v>
      </c>
      <c r="G15" s="123">
        <f t="shared" si="2"/>
        <v>38921</v>
      </c>
      <c r="H15" s="132" t="s">
        <v>33</v>
      </c>
      <c r="I15" s="106">
        <v>5.74</v>
      </c>
      <c r="J15" s="106">
        <v>2</v>
      </c>
      <c r="K15" s="106">
        <v>53.49</v>
      </c>
      <c r="L15" s="124">
        <f t="shared" si="0"/>
        <v>59.230000000000004</v>
      </c>
      <c r="M15" s="125">
        <f t="shared" si="3"/>
        <v>38921</v>
      </c>
      <c r="N15" s="108" t="s">
        <v>71</v>
      </c>
      <c r="O15" s="126">
        <v>1.91</v>
      </c>
      <c r="R15" s="127"/>
      <c r="S15" s="110" t="s">
        <v>90</v>
      </c>
    </row>
    <row r="16" spans="1:42" x14ac:dyDescent="0.3">
      <c r="A16" s="118">
        <v>38989</v>
      </c>
      <c r="B16" s="119" t="s">
        <v>68</v>
      </c>
      <c r="C16" s="120">
        <v>8.09</v>
      </c>
      <c r="D16" s="121">
        <v>1</v>
      </c>
      <c r="E16" s="121">
        <v>57.96</v>
      </c>
      <c r="F16" s="122">
        <f t="shared" si="1"/>
        <v>66.05</v>
      </c>
      <c r="G16" s="123">
        <f t="shared" si="2"/>
        <v>38989</v>
      </c>
      <c r="H16" s="105" t="s">
        <v>33</v>
      </c>
      <c r="I16" s="106">
        <v>5.72</v>
      </c>
      <c r="J16" s="106">
        <v>2</v>
      </c>
      <c r="K16" s="106">
        <v>53.49</v>
      </c>
      <c r="L16" s="124">
        <f t="shared" si="0"/>
        <v>59.21</v>
      </c>
      <c r="M16" s="125">
        <f t="shared" si="3"/>
        <v>38989</v>
      </c>
      <c r="N16" s="108" t="s">
        <v>71</v>
      </c>
      <c r="O16" s="126">
        <v>1.7</v>
      </c>
      <c r="P16" s="109">
        <v>3</v>
      </c>
    </row>
    <row r="17" spans="1:19" x14ac:dyDescent="0.3">
      <c r="A17" s="118">
        <v>40013</v>
      </c>
      <c r="B17" s="119" t="s">
        <v>72</v>
      </c>
      <c r="C17" s="120">
        <v>8.93</v>
      </c>
      <c r="D17" s="121">
        <v>1</v>
      </c>
      <c r="E17" s="121">
        <v>57.03</v>
      </c>
      <c r="F17" s="122">
        <f t="shared" si="1"/>
        <v>65.960000000000008</v>
      </c>
      <c r="G17" s="123">
        <f t="shared" si="2"/>
        <v>40013</v>
      </c>
      <c r="H17" s="105" t="s">
        <v>33</v>
      </c>
      <c r="I17" s="106">
        <v>5.43</v>
      </c>
      <c r="J17" s="106">
        <v>2</v>
      </c>
      <c r="K17" s="106">
        <v>53.49</v>
      </c>
      <c r="L17" s="124">
        <f t="shared" si="0"/>
        <v>58.92</v>
      </c>
      <c r="M17" s="125">
        <f t="shared" si="3"/>
        <v>40013</v>
      </c>
      <c r="N17" s="108">
        <v>31</v>
      </c>
      <c r="O17" s="126">
        <v>4.5</v>
      </c>
      <c r="P17" s="109">
        <v>3</v>
      </c>
      <c r="Q17" s="109">
        <v>51.28</v>
      </c>
      <c r="R17" s="127">
        <f t="shared" ref="R17:R31" si="4">Q17+O17</f>
        <v>55.78</v>
      </c>
    </row>
    <row r="18" spans="1:19" x14ac:dyDescent="0.3">
      <c r="A18" s="118">
        <v>40086</v>
      </c>
      <c r="B18" s="119" t="s">
        <v>68</v>
      </c>
      <c r="C18" s="120">
        <v>8.1</v>
      </c>
      <c r="D18" s="121">
        <v>1</v>
      </c>
      <c r="E18" s="121">
        <v>57.96</v>
      </c>
      <c r="F18" s="128">
        <f t="shared" si="1"/>
        <v>66.06</v>
      </c>
      <c r="G18" s="123">
        <f t="shared" si="2"/>
        <v>40086</v>
      </c>
      <c r="H18" s="132" t="s">
        <v>33</v>
      </c>
      <c r="I18" s="106">
        <v>5.25</v>
      </c>
      <c r="J18" s="106">
        <v>2</v>
      </c>
      <c r="K18" s="106">
        <v>53.49</v>
      </c>
      <c r="L18" s="136">
        <f t="shared" si="0"/>
        <v>58.74</v>
      </c>
      <c r="M18" s="125">
        <f t="shared" si="3"/>
        <v>40086</v>
      </c>
      <c r="N18" s="108">
        <v>31</v>
      </c>
      <c r="O18" s="126">
        <v>4.5</v>
      </c>
      <c r="P18" s="109">
        <v>3</v>
      </c>
      <c r="Q18" s="109">
        <v>51.28</v>
      </c>
      <c r="R18" s="127">
        <f t="shared" si="4"/>
        <v>55.78</v>
      </c>
      <c r="S18" s="137" t="s">
        <v>110</v>
      </c>
    </row>
    <row r="19" spans="1:19" x14ac:dyDescent="0.3">
      <c r="A19" s="118">
        <v>40382</v>
      </c>
      <c r="B19" s="119" t="s">
        <v>68</v>
      </c>
      <c r="C19" s="121">
        <v>8.01</v>
      </c>
      <c r="D19" s="121">
        <v>1</v>
      </c>
      <c r="E19" s="121">
        <v>57.96</v>
      </c>
      <c r="F19" s="128">
        <f t="shared" si="1"/>
        <v>65.97</v>
      </c>
      <c r="G19" s="123">
        <f t="shared" si="2"/>
        <v>40382</v>
      </c>
      <c r="H19" s="132" t="s">
        <v>33</v>
      </c>
      <c r="I19" s="106">
        <v>5.14</v>
      </c>
      <c r="J19" s="106">
        <v>2</v>
      </c>
      <c r="K19" s="106">
        <v>53.49</v>
      </c>
      <c r="L19" s="136">
        <f t="shared" si="0"/>
        <v>58.63</v>
      </c>
      <c r="M19" s="125">
        <f t="shared" si="3"/>
        <v>40382</v>
      </c>
      <c r="N19" s="108">
        <v>31</v>
      </c>
      <c r="O19" s="109">
        <v>4.43</v>
      </c>
      <c r="P19" s="109">
        <v>3</v>
      </c>
      <c r="Q19" s="109">
        <v>51.28</v>
      </c>
      <c r="R19" s="138">
        <f t="shared" si="4"/>
        <v>55.71</v>
      </c>
    </row>
    <row r="20" spans="1:19" x14ac:dyDescent="0.3">
      <c r="A20" s="118">
        <v>40800</v>
      </c>
      <c r="B20" s="119" t="s">
        <v>72</v>
      </c>
      <c r="C20" s="120">
        <v>9</v>
      </c>
      <c r="D20" s="121">
        <v>1</v>
      </c>
      <c r="E20" s="121">
        <v>57.03</v>
      </c>
      <c r="F20" s="128">
        <f t="shared" si="1"/>
        <v>66.03</v>
      </c>
      <c r="G20" s="123">
        <f t="shared" si="2"/>
        <v>40800</v>
      </c>
      <c r="H20" s="132" t="s">
        <v>33</v>
      </c>
      <c r="I20" s="106">
        <v>5.13</v>
      </c>
      <c r="J20" s="106">
        <v>2</v>
      </c>
      <c r="K20" s="106">
        <v>53.49</v>
      </c>
      <c r="L20" s="136">
        <f t="shared" si="0"/>
        <v>58.620000000000005</v>
      </c>
      <c r="M20" s="125">
        <f t="shared" si="3"/>
        <v>40800</v>
      </c>
      <c r="N20" s="108">
        <v>33</v>
      </c>
      <c r="O20" s="109">
        <v>4.43</v>
      </c>
      <c r="P20" s="109">
        <v>3</v>
      </c>
      <c r="Q20" s="126">
        <v>50.385238047660089</v>
      </c>
      <c r="R20" s="139">
        <f t="shared" si="4"/>
        <v>54.815238047660088</v>
      </c>
      <c r="S20" s="140" t="s">
        <v>126</v>
      </c>
    </row>
    <row r="21" spans="1:19" x14ac:dyDescent="0.3">
      <c r="A21" s="118">
        <v>41198</v>
      </c>
      <c r="B21" s="119" t="s">
        <v>68</v>
      </c>
      <c r="C21" s="121">
        <v>7.97</v>
      </c>
      <c r="D21" s="121">
        <v>1</v>
      </c>
      <c r="E21" s="121">
        <v>57.96</v>
      </c>
      <c r="F21" s="122">
        <f t="shared" si="1"/>
        <v>65.930000000000007</v>
      </c>
      <c r="G21" s="123">
        <f t="shared" si="2"/>
        <v>41198</v>
      </c>
      <c r="H21" s="132" t="s">
        <v>33</v>
      </c>
      <c r="I21" s="106">
        <v>5.1100000000000003</v>
      </c>
      <c r="J21" s="106">
        <v>2</v>
      </c>
      <c r="K21" s="106">
        <v>53.49</v>
      </c>
      <c r="L21" s="141">
        <f t="shared" si="0"/>
        <v>58.6</v>
      </c>
      <c r="M21" s="125">
        <f t="shared" si="3"/>
        <v>41198</v>
      </c>
      <c r="N21" s="108">
        <v>33</v>
      </c>
      <c r="O21" s="109">
        <v>4.37</v>
      </c>
      <c r="P21" s="109">
        <v>3</v>
      </c>
      <c r="Q21" s="126">
        <v>50.385238047660089</v>
      </c>
      <c r="R21" s="127">
        <f t="shared" si="4"/>
        <v>54.755238047660086</v>
      </c>
    </row>
    <row r="22" spans="1:19" x14ac:dyDescent="0.3">
      <c r="A22" s="118">
        <v>41463</v>
      </c>
      <c r="B22" s="119">
        <v>10</v>
      </c>
      <c r="C22" s="121">
        <v>18.55</v>
      </c>
      <c r="D22" s="121">
        <v>1</v>
      </c>
      <c r="E22" s="121">
        <f>57.03-9.74</f>
        <v>47.29</v>
      </c>
      <c r="F22" s="122">
        <f t="shared" si="1"/>
        <v>65.84</v>
      </c>
      <c r="G22" s="123">
        <f t="shared" si="2"/>
        <v>41463</v>
      </c>
      <c r="H22" s="105">
        <v>20</v>
      </c>
      <c r="I22" s="106">
        <v>14.71</v>
      </c>
      <c r="J22" s="106">
        <v>2</v>
      </c>
      <c r="K22" s="142">
        <f>53.49-9.69</f>
        <v>43.800000000000004</v>
      </c>
      <c r="L22" s="141">
        <f t="shared" si="0"/>
        <v>58.510000000000005</v>
      </c>
      <c r="M22" s="143">
        <f t="shared" si="3"/>
        <v>41463</v>
      </c>
      <c r="N22" s="133" t="s">
        <v>135</v>
      </c>
      <c r="O22" s="144">
        <v>4.29</v>
      </c>
      <c r="P22" s="144">
        <v>3</v>
      </c>
      <c r="Q22" s="145">
        <v>50.385238047660089</v>
      </c>
      <c r="R22" s="139">
        <f t="shared" si="4"/>
        <v>54.675238047660088</v>
      </c>
    </row>
    <row r="23" spans="1:19" x14ac:dyDescent="0.3">
      <c r="A23" s="118">
        <v>41832</v>
      </c>
      <c r="B23" s="119" t="s">
        <v>68</v>
      </c>
      <c r="C23" s="121">
        <v>7.88</v>
      </c>
      <c r="D23" s="121">
        <v>1</v>
      </c>
      <c r="E23" s="121">
        <v>57.96</v>
      </c>
      <c r="F23" s="122">
        <f t="shared" si="1"/>
        <v>65.84</v>
      </c>
      <c r="G23" s="146">
        <f>IF(ISNUMBER(A23),A23,"")</f>
        <v>41832</v>
      </c>
      <c r="H23" s="132" t="s">
        <v>33</v>
      </c>
      <c r="I23" s="147">
        <v>5.0199999999999996</v>
      </c>
      <c r="J23" s="147">
        <v>2</v>
      </c>
      <c r="K23" s="147">
        <v>53.49</v>
      </c>
      <c r="L23" s="141">
        <f>K23+I23</f>
        <v>58.510000000000005</v>
      </c>
      <c r="M23" s="143">
        <f t="shared" si="3"/>
        <v>41832</v>
      </c>
      <c r="N23" s="133" t="s">
        <v>140</v>
      </c>
      <c r="O23" s="145">
        <v>4.0999999999999996</v>
      </c>
      <c r="P23" s="144">
        <v>3</v>
      </c>
      <c r="Q23" s="144">
        <v>51.06</v>
      </c>
      <c r="R23" s="139">
        <f t="shared" si="4"/>
        <v>55.160000000000004</v>
      </c>
      <c r="S23" s="148" t="s">
        <v>141</v>
      </c>
    </row>
    <row r="24" spans="1:19" x14ac:dyDescent="0.3">
      <c r="A24" s="118">
        <v>42201</v>
      </c>
      <c r="B24" s="119" t="s">
        <v>68</v>
      </c>
      <c r="C24" s="121">
        <v>7.89</v>
      </c>
      <c r="D24" s="121">
        <v>1</v>
      </c>
      <c r="E24" s="121">
        <v>57.96</v>
      </c>
      <c r="F24" s="122">
        <f t="shared" si="1"/>
        <v>65.849999999999994</v>
      </c>
      <c r="G24" s="146">
        <f>IF(ISNUMBER(A24),A24,"")</f>
        <v>42201</v>
      </c>
      <c r="H24" s="132" t="s">
        <v>33</v>
      </c>
      <c r="I24" s="147">
        <v>5.04</v>
      </c>
      <c r="J24" s="147">
        <v>2</v>
      </c>
      <c r="K24" s="147">
        <v>53.49</v>
      </c>
      <c r="L24" s="149">
        <f>K24+I24</f>
        <v>58.53</v>
      </c>
      <c r="M24" s="143">
        <f t="shared" si="3"/>
        <v>42201</v>
      </c>
      <c r="N24" s="133" t="s">
        <v>140</v>
      </c>
      <c r="O24" s="150">
        <v>4.17</v>
      </c>
      <c r="P24" s="144">
        <v>3</v>
      </c>
      <c r="Q24" s="144">
        <v>51.06</v>
      </c>
      <c r="R24" s="151">
        <f t="shared" si="4"/>
        <v>55.230000000000004</v>
      </c>
    </row>
    <row r="25" spans="1:19" x14ac:dyDescent="0.3">
      <c r="A25" s="152">
        <v>42629</v>
      </c>
      <c r="B25" s="153" t="s">
        <v>108</v>
      </c>
      <c r="F25" s="154"/>
      <c r="G25" s="146">
        <f>IF(ISNUMBER(A25),A25,"")</f>
        <v>42629</v>
      </c>
      <c r="H25" s="105" t="s">
        <v>33</v>
      </c>
      <c r="I25" s="106">
        <v>5.1100000000000003</v>
      </c>
      <c r="J25" s="106">
        <v>2</v>
      </c>
      <c r="K25" s="147">
        <v>53.49</v>
      </c>
      <c r="L25" s="149">
        <f>K25+I25</f>
        <v>58.6</v>
      </c>
      <c r="M25" s="143">
        <f t="shared" si="3"/>
        <v>42629</v>
      </c>
      <c r="N25" s="133" t="s">
        <v>140</v>
      </c>
      <c r="O25" s="150">
        <v>4.25</v>
      </c>
      <c r="P25" s="109">
        <v>3</v>
      </c>
      <c r="Q25" s="144">
        <v>51.06</v>
      </c>
      <c r="R25" s="151">
        <f t="shared" si="4"/>
        <v>55.31</v>
      </c>
      <c r="S25" s="110" t="s">
        <v>151</v>
      </c>
    </row>
    <row r="26" spans="1:19" x14ac:dyDescent="0.3">
      <c r="A26" s="152">
        <v>42655</v>
      </c>
      <c r="B26" s="153" t="s">
        <v>233</v>
      </c>
      <c r="C26" s="103">
        <v>8.93</v>
      </c>
      <c r="D26" s="103">
        <v>1</v>
      </c>
      <c r="E26" s="155">
        <v>57.03</v>
      </c>
      <c r="F26" s="156">
        <f t="shared" si="1"/>
        <v>65.960000000000008</v>
      </c>
      <c r="G26" s="146">
        <f>IF(ISNUMBER(A26),A26,"")</f>
        <v>42655</v>
      </c>
      <c r="H26" s="105" t="s">
        <v>33</v>
      </c>
      <c r="I26" s="142">
        <v>5.0999999999999996</v>
      </c>
      <c r="J26" s="106">
        <v>2</v>
      </c>
      <c r="K26" s="147">
        <v>53.49</v>
      </c>
      <c r="L26" s="149">
        <f>K26+I26</f>
        <v>58.59</v>
      </c>
      <c r="M26" s="143">
        <f t="shared" si="3"/>
        <v>42655</v>
      </c>
      <c r="N26" s="133" t="s">
        <v>140</v>
      </c>
      <c r="O26" s="157">
        <v>4.3</v>
      </c>
      <c r="P26" s="109">
        <v>3</v>
      </c>
      <c r="Q26" s="144">
        <v>51.06</v>
      </c>
      <c r="R26" s="151">
        <f t="shared" si="4"/>
        <v>55.36</v>
      </c>
      <c r="S26" s="110" t="s">
        <v>153</v>
      </c>
    </row>
    <row r="27" spans="1:19" x14ac:dyDescent="0.3">
      <c r="A27" s="152">
        <v>43691</v>
      </c>
      <c r="B27" s="153" t="s">
        <v>108</v>
      </c>
      <c r="G27" s="146">
        <f>IF(ISNUMBER(A27),A27,"")</f>
        <v>43691</v>
      </c>
      <c r="H27" s="132" t="s">
        <v>108</v>
      </c>
      <c r="L27" s="149"/>
      <c r="M27" s="143">
        <f t="shared" si="3"/>
        <v>43691</v>
      </c>
      <c r="N27" s="133" t="s">
        <v>140</v>
      </c>
      <c r="O27" s="150">
        <v>4.1500000000000004</v>
      </c>
      <c r="P27" s="109">
        <v>3</v>
      </c>
      <c r="Q27" s="144">
        <v>51.06</v>
      </c>
      <c r="R27" s="151">
        <f t="shared" si="4"/>
        <v>55.21</v>
      </c>
      <c r="S27" s="110" t="s">
        <v>157</v>
      </c>
    </row>
    <row r="28" spans="1:19" x14ac:dyDescent="0.3">
      <c r="A28" s="152">
        <v>43747</v>
      </c>
      <c r="B28" s="153" t="s">
        <v>72</v>
      </c>
      <c r="C28" s="103">
        <v>8.82</v>
      </c>
      <c r="D28" s="103">
        <v>1</v>
      </c>
      <c r="E28" s="103">
        <v>57.03</v>
      </c>
      <c r="F28" s="154">
        <f t="shared" si="1"/>
        <v>65.849999999999994</v>
      </c>
      <c r="G28" s="123">
        <f t="shared" si="2"/>
        <v>43747</v>
      </c>
      <c r="H28" s="105" t="s">
        <v>33</v>
      </c>
      <c r="I28" s="106">
        <v>4.83</v>
      </c>
      <c r="J28" s="106">
        <v>2</v>
      </c>
      <c r="K28" s="106">
        <v>53.49</v>
      </c>
      <c r="L28" s="149">
        <f>K28+I28</f>
        <v>58.32</v>
      </c>
      <c r="M28" s="125">
        <f t="shared" si="3"/>
        <v>43747</v>
      </c>
      <c r="N28" s="108" t="s">
        <v>108</v>
      </c>
      <c r="R28" s="151"/>
      <c r="S28" s="111" t="s">
        <v>234</v>
      </c>
    </row>
    <row r="29" spans="1:19" x14ac:dyDescent="0.3">
      <c r="A29" s="152">
        <v>44776</v>
      </c>
      <c r="B29" s="153" t="s">
        <v>68</v>
      </c>
      <c r="C29" s="103">
        <v>7.65</v>
      </c>
      <c r="D29" s="103">
        <v>1</v>
      </c>
      <c r="E29" s="103">
        <v>57.96</v>
      </c>
      <c r="F29" s="156">
        <f t="shared" si="1"/>
        <v>65.61</v>
      </c>
      <c r="G29" s="123">
        <f t="shared" si="2"/>
        <v>44776</v>
      </c>
      <c r="H29" s="105" t="s">
        <v>33</v>
      </c>
      <c r="I29" s="142">
        <v>4.9000000000000004</v>
      </c>
      <c r="J29" s="106">
        <v>2</v>
      </c>
      <c r="K29" s="106">
        <v>53.49</v>
      </c>
      <c r="L29" s="165">
        <f>K29+I29</f>
        <v>58.39</v>
      </c>
      <c r="M29" s="125">
        <f t="shared" si="3"/>
        <v>44776</v>
      </c>
      <c r="N29" s="108" t="s">
        <v>108</v>
      </c>
      <c r="R29" s="151"/>
      <c r="S29" s="111" t="s">
        <v>246</v>
      </c>
    </row>
    <row r="30" spans="1:19" x14ac:dyDescent="0.3">
      <c r="A30" s="152">
        <v>44845</v>
      </c>
      <c r="B30" s="153" t="s">
        <v>68</v>
      </c>
      <c r="C30" s="103">
        <v>7.82</v>
      </c>
      <c r="D30" s="103">
        <v>1</v>
      </c>
      <c r="E30" s="103">
        <v>57.96</v>
      </c>
      <c r="F30" s="156">
        <f t="shared" si="1"/>
        <v>65.78</v>
      </c>
      <c r="G30" s="123">
        <f t="shared" si="2"/>
        <v>44845</v>
      </c>
      <c r="H30" s="105">
        <v>20</v>
      </c>
      <c r="I30" s="106">
        <v>14.63</v>
      </c>
      <c r="J30" s="106">
        <v>2</v>
      </c>
      <c r="K30" s="142">
        <v>43.8</v>
      </c>
      <c r="L30" s="165">
        <f>K30+I30</f>
        <v>58.43</v>
      </c>
      <c r="M30" s="125">
        <f t="shared" si="3"/>
        <v>44845</v>
      </c>
      <c r="N30" s="108" t="s">
        <v>108</v>
      </c>
      <c r="R30" s="151"/>
      <c r="S30" s="111" t="s">
        <v>245</v>
      </c>
    </row>
    <row r="31" spans="1:19" x14ac:dyDescent="0.3">
      <c r="A31" s="152">
        <v>45203</v>
      </c>
      <c r="B31" s="153" t="s">
        <v>68</v>
      </c>
      <c r="C31" s="103">
        <v>7.89</v>
      </c>
      <c r="D31" s="103">
        <v>1</v>
      </c>
      <c r="E31" s="103">
        <v>57.96</v>
      </c>
      <c r="F31" s="167">
        <f t="shared" si="1"/>
        <v>65.849999999999994</v>
      </c>
      <c r="G31" s="123">
        <f t="shared" si="2"/>
        <v>45203</v>
      </c>
      <c r="H31" s="105" t="s">
        <v>33</v>
      </c>
      <c r="I31" s="106">
        <v>4.54</v>
      </c>
      <c r="J31" s="106">
        <v>2</v>
      </c>
      <c r="K31" s="106">
        <v>53.49</v>
      </c>
      <c r="L31" s="136">
        <f>K31+I31</f>
        <v>58.03</v>
      </c>
      <c r="M31" s="125">
        <f t="shared" si="3"/>
        <v>45203</v>
      </c>
      <c r="N31" s="108">
        <v>3</v>
      </c>
      <c r="O31" s="109">
        <v>54.44</v>
      </c>
      <c r="P31" s="109">
        <v>3</v>
      </c>
      <c r="Q31" s="109">
        <v>0</v>
      </c>
      <c r="R31" s="139">
        <f t="shared" si="4"/>
        <v>54.44</v>
      </c>
    </row>
    <row r="32" spans="1:19" x14ac:dyDescent="0.3">
      <c r="G32" s="123" t="str">
        <f t="shared" si="2"/>
        <v/>
      </c>
      <c r="M32" s="125" t="str">
        <f t="shared" si="3"/>
        <v/>
      </c>
    </row>
    <row r="33" spans="7:13" x14ac:dyDescent="0.3">
      <c r="G33" s="123" t="str">
        <f t="shared" si="2"/>
        <v/>
      </c>
      <c r="M33" s="125" t="str">
        <f t="shared" si="3"/>
        <v/>
      </c>
    </row>
    <row r="34" spans="7:13" x14ac:dyDescent="0.3">
      <c r="G34" s="123" t="str">
        <f t="shared" si="2"/>
        <v/>
      </c>
      <c r="M34" s="125" t="str">
        <f t="shared" si="3"/>
        <v/>
      </c>
    </row>
    <row r="35" spans="7:13" x14ac:dyDescent="0.3">
      <c r="G35" s="123" t="str">
        <f t="shared" si="2"/>
        <v/>
      </c>
      <c r="M35" s="125" t="str">
        <f t="shared" si="3"/>
        <v/>
      </c>
    </row>
    <row r="36" spans="7:13" x14ac:dyDescent="0.3">
      <c r="G36" s="123" t="str">
        <f t="shared" si="2"/>
        <v/>
      </c>
      <c r="M36" s="125" t="str">
        <f t="shared" si="3"/>
        <v/>
      </c>
    </row>
    <row r="37" spans="7:13" x14ac:dyDescent="0.3">
      <c r="G37" s="123" t="str">
        <f t="shared" si="2"/>
        <v/>
      </c>
      <c r="M37" s="125" t="str">
        <f t="shared" si="3"/>
        <v/>
      </c>
    </row>
    <row r="38" spans="7:13" x14ac:dyDescent="0.3">
      <c r="G38" s="123" t="str">
        <f t="shared" si="2"/>
        <v/>
      </c>
      <c r="M38" s="125" t="str">
        <f t="shared" si="3"/>
        <v/>
      </c>
    </row>
    <row r="39" spans="7:13" x14ac:dyDescent="0.3">
      <c r="G39" s="123" t="str">
        <f t="shared" si="2"/>
        <v/>
      </c>
      <c r="M39" s="125" t="str">
        <f t="shared" si="3"/>
        <v/>
      </c>
    </row>
    <row r="40" spans="7:13" x14ac:dyDescent="0.3">
      <c r="G40" s="123" t="str">
        <f t="shared" si="2"/>
        <v/>
      </c>
      <c r="M40" s="125" t="str">
        <f t="shared" si="3"/>
        <v/>
      </c>
    </row>
    <row r="41" spans="7:13" x14ac:dyDescent="0.3">
      <c r="G41" s="123" t="str">
        <f t="shared" si="2"/>
        <v/>
      </c>
      <c r="M41" s="125" t="str">
        <f t="shared" si="3"/>
        <v/>
      </c>
    </row>
    <row r="42" spans="7:13" x14ac:dyDescent="0.3">
      <c r="G42" s="123" t="str">
        <f t="shared" si="2"/>
        <v/>
      </c>
      <c r="M42" s="125" t="str">
        <f t="shared" si="3"/>
        <v/>
      </c>
    </row>
    <row r="43" spans="7:13" x14ac:dyDescent="0.3">
      <c r="G43" s="123" t="str">
        <f t="shared" si="2"/>
        <v/>
      </c>
      <c r="M43" s="125" t="str">
        <f t="shared" si="3"/>
        <v/>
      </c>
    </row>
    <row r="44" spans="7:13" x14ac:dyDescent="0.3">
      <c r="G44" s="123" t="str">
        <f t="shared" si="2"/>
        <v/>
      </c>
      <c r="M44" s="125" t="str">
        <f t="shared" si="3"/>
        <v/>
      </c>
    </row>
    <row r="45" spans="7:13" x14ac:dyDescent="0.3">
      <c r="G45" s="123" t="str">
        <f t="shared" si="2"/>
        <v/>
      </c>
      <c r="M45" s="125" t="str">
        <f t="shared" si="3"/>
        <v/>
      </c>
    </row>
    <row r="46" spans="7:13" x14ac:dyDescent="0.3">
      <c r="G46" s="123" t="str">
        <f t="shared" si="2"/>
        <v/>
      </c>
      <c r="M46" s="125" t="str">
        <f t="shared" si="3"/>
        <v/>
      </c>
    </row>
    <row r="47" spans="7:13" x14ac:dyDescent="0.3">
      <c r="G47" s="123" t="str">
        <f t="shared" si="2"/>
        <v/>
      </c>
      <c r="M47" s="125" t="str">
        <f t="shared" si="3"/>
        <v/>
      </c>
    </row>
    <row r="48" spans="7:13" x14ac:dyDescent="0.3">
      <c r="G48" s="123" t="str">
        <f t="shared" si="2"/>
        <v/>
      </c>
      <c r="M48" s="125" t="str">
        <f t="shared" si="3"/>
        <v/>
      </c>
    </row>
    <row r="49" spans="7:13" x14ac:dyDescent="0.3">
      <c r="G49" s="123" t="str">
        <f t="shared" si="2"/>
        <v/>
      </c>
      <c r="M49" s="125" t="str">
        <f t="shared" si="3"/>
        <v/>
      </c>
    </row>
    <row r="50" spans="7:13" x14ac:dyDescent="0.3">
      <c r="G50" s="123" t="str">
        <f t="shared" si="2"/>
        <v/>
      </c>
      <c r="M50" s="125" t="str">
        <f t="shared" si="3"/>
        <v/>
      </c>
    </row>
    <row r="51" spans="7:13" x14ac:dyDescent="0.3">
      <c r="G51" s="123" t="str">
        <f t="shared" si="2"/>
        <v/>
      </c>
      <c r="M51" s="125" t="str">
        <f t="shared" si="3"/>
        <v/>
      </c>
    </row>
    <row r="52" spans="7:13" x14ac:dyDescent="0.3">
      <c r="G52" s="123" t="str">
        <f t="shared" si="2"/>
        <v/>
      </c>
      <c r="M52" s="125" t="str">
        <f t="shared" si="3"/>
        <v/>
      </c>
    </row>
    <row r="53" spans="7:13" x14ac:dyDescent="0.3">
      <c r="G53" s="123" t="str">
        <f t="shared" si="2"/>
        <v/>
      </c>
      <c r="M53" s="125" t="str">
        <f t="shared" si="3"/>
        <v/>
      </c>
    </row>
    <row r="54" spans="7:13" x14ac:dyDescent="0.3">
      <c r="G54" s="123" t="str">
        <f t="shared" si="2"/>
        <v/>
      </c>
      <c r="M54" s="125" t="str">
        <f t="shared" si="3"/>
        <v/>
      </c>
    </row>
    <row r="55" spans="7:13" x14ac:dyDescent="0.3">
      <c r="G55" s="123" t="str">
        <f t="shared" si="2"/>
        <v/>
      </c>
      <c r="M55" s="125" t="str">
        <f t="shared" si="3"/>
        <v/>
      </c>
    </row>
    <row r="56" spans="7:13" x14ac:dyDescent="0.3">
      <c r="G56" s="123" t="str">
        <f t="shared" si="2"/>
        <v/>
      </c>
      <c r="M56" s="125" t="str">
        <f t="shared" si="3"/>
        <v/>
      </c>
    </row>
    <row r="57" spans="7:13" x14ac:dyDescent="0.3">
      <c r="G57" s="123" t="str">
        <f t="shared" si="2"/>
        <v/>
      </c>
      <c r="M57" s="125" t="str">
        <f t="shared" si="3"/>
        <v/>
      </c>
    </row>
    <row r="58" spans="7:13" x14ac:dyDescent="0.3">
      <c r="G58" s="123" t="str">
        <f t="shared" si="2"/>
        <v/>
      </c>
      <c r="M58" s="125" t="str">
        <f t="shared" si="3"/>
        <v/>
      </c>
    </row>
    <row r="59" spans="7:13" x14ac:dyDescent="0.3">
      <c r="G59" s="123" t="str">
        <f t="shared" si="2"/>
        <v/>
      </c>
      <c r="M59" s="125" t="str">
        <f t="shared" si="3"/>
        <v/>
      </c>
    </row>
    <row r="60" spans="7:13" x14ac:dyDescent="0.3">
      <c r="G60" s="123" t="str">
        <f t="shared" si="2"/>
        <v/>
      </c>
      <c r="M60" s="125" t="str">
        <f t="shared" si="3"/>
        <v/>
      </c>
    </row>
    <row r="61" spans="7:13" x14ac:dyDescent="0.3">
      <c r="G61" s="123" t="str">
        <f t="shared" si="2"/>
        <v/>
      </c>
      <c r="M61" s="125" t="str">
        <f t="shared" si="3"/>
        <v/>
      </c>
    </row>
    <row r="62" spans="7:13" x14ac:dyDescent="0.3">
      <c r="G62" s="123" t="str">
        <f t="shared" si="2"/>
        <v/>
      </c>
      <c r="M62" s="125" t="str">
        <f t="shared" si="3"/>
        <v/>
      </c>
    </row>
    <row r="63" spans="7:13" x14ac:dyDescent="0.3">
      <c r="G63" s="123" t="str">
        <f t="shared" si="2"/>
        <v/>
      </c>
      <c r="M63" s="125" t="str">
        <f t="shared" si="3"/>
        <v/>
      </c>
    </row>
    <row r="64" spans="7:13" x14ac:dyDescent="0.3">
      <c r="G64" s="123" t="str">
        <f t="shared" si="2"/>
        <v/>
      </c>
      <c r="M64" s="125" t="str">
        <f t="shared" si="3"/>
        <v/>
      </c>
    </row>
    <row r="65" spans="7:13" x14ac:dyDescent="0.3">
      <c r="G65" s="123" t="str">
        <f t="shared" si="2"/>
        <v/>
      </c>
      <c r="M65" s="125" t="str">
        <f t="shared" si="3"/>
        <v/>
      </c>
    </row>
    <row r="66" spans="7:13" x14ac:dyDescent="0.3">
      <c r="G66" s="123" t="str">
        <f t="shared" si="2"/>
        <v/>
      </c>
      <c r="M66" s="125" t="str">
        <f t="shared" si="3"/>
        <v/>
      </c>
    </row>
    <row r="67" spans="7:13" x14ac:dyDescent="0.3">
      <c r="G67" s="123" t="str">
        <f t="shared" si="2"/>
        <v/>
      </c>
      <c r="M67" s="125" t="str">
        <f t="shared" si="3"/>
        <v/>
      </c>
    </row>
    <row r="68" spans="7:13" x14ac:dyDescent="0.3">
      <c r="G68" s="123" t="str">
        <f t="shared" si="2"/>
        <v/>
      </c>
      <c r="M68" s="125" t="str">
        <f t="shared" si="3"/>
        <v/>
      </c>
    </row>
    <row r="69" spans="7:13" x14ac:dyDescent="0.3">
      <c r="G69" s="123" t="str">
        <f t="shared" si="2"/>
        <v/>
      </c>
      <c r="M69" s="125" t="str">
        <f t="shared" si="3"/>
        <v/>
      </c>
    </row>
    <row r="70" spans="7:13" x14ac:dyDescent="0.3">
      <c r="G70" s="123" t="str">
        <f t="shared" si="2"/>
        <v/>
      </c>
      <c r="M70" s="125" t="str">
        <f t="shared" si="3"/>
        <v/>
      </c>
    </row>
    <row r="71" spans="7:13" x14ac:dyDescent="0.3">
      <c r="G71" s="123" t="str">
        <f t="shared" si="2"/>
        <v/>
      </c>
      <c r="M71" s="125" t="str">
        <f t="shared" si="3"/>
        <v/>
      </c>
    </row>
    <row r="72" spans="7:13" x14ac:dyDescent="0.3">
      <c r="G72" s="123" t="str">
        <f t="shared" si="2"/>
        <v/>
      </c>
      <c r="M72" s="125" t="str">
        <f t="shared" si="3"/>
        <v/>
      </c>
    </row>
    <row r="73" spans="7:13" x14ac:dyDescent="0.3">
      <c r="G73" s="123" t="str">
        <f t="shared" si="2"/>
        <v/>
      </c>
      <c r="M73" s="125" t="str">
        <f t="shared" si="3"/>
        <v/>
      </c>
    </row>
    <row r="74" spans="7:13" x14ac:dyDescent="0.3">
      <c r="G74" s="123" t="str">
        <f t="shared" si="2"/>
        <v/>
      </c>
      <c r="M74" s="125" t="str">
        <f t="shared" si="3"/>
        <v/>
      </c>
    </row>
    <row r="75" spans="7:13" x14ac:dyDescent="0.3">
      <c r="G75" s="123" t="str">
        <f t="shared" si="2"/>
        <v/>
      </c>
      <c r="M75" s="125" t="str">
        <f t="shared" si="3"/>
        <v/>
      </c>
    </row>
    <row r="76" spans="7:13" x14ac:dyDescent="0.3">
      <c r="G76" s="123" t="str">
        <f t="shared" ref="G76:G84" si="5">IF(ISNUMBER(A76),A76,"")</f>
        <v/>
      </c>
      <c r="M76" s="125" t="str">
        <f t="shared" ref="M76:M84" si="6">IF(ISNUMBER(G76),G76,"")</f>
        <v/>
      </c>
    </row>
    <row r="77" spans="7:13" x14ac:dyDescent="0.3">
      <c r="G77" s="123" t="str">
        <f t="shared" si="5"/>
        <v/>
      </c>
      <c r="M77" s="125" t="str">
        <f t="shared" si="6"/>
        <v/>
      </c>
    </row>
    <row r="78" spans="7:13" x14ac:dyDescent="0.3">
      <c r="G78" s="123" t="str">
        <f t="shared" si="5"/>
        <v/>
      </c>
      <c r="M78" s="125" t="str">
        <f t="shared" si="6"/>
        <v/>
      </c>
    </row>
    <row r="79" spans="7:13" x14ac:dyDescent="0.3">
      <c r="G79" s="123" t="str">
        <f t="shared" si="5"/>
        <v/>
      </c>
      <c r="M79" s="125" t="str">
        <f t="shared" si="6"/>
        <v/>
      </c>
    </row>
    <row r="80" spans="7:13" x14ac:dyDescent="0.3">
      <c r="G80" s="123" t="str">
        <f t="shared" si="5"/>
        <v/>
      </c>
      <c r="M80" s="125" t="str">
        <f t="shared" si="6"/>
        <v/>
      </c>
    </row>
    <row r="81" spans="7:13" x14ac:dyDescent="0.3">
      <c r="G81" s="123" t="str">
        <f t="shared" si="5"/>
        <v/>
      </c>
      <c r="M81" s="125" t="str">
        <f t="shared" si="6"/>
        <v/>
      </c>
    </row>
    <row r="82" spans="7:13" x14ac:dyDescent="0.3">
      <c r="G82" s="123" t="str">
        <f t="shared" si="5"/>
        <v/>
      </c>
      <c r="M82" s="125" t="str">
        <f t="shared" si="6"/>
        <v/>
      </c>
    </row>
    <row r="83" spans="7:13" x14ac:dyDescent="0.3">
      <c r="G83" s="123" t="str">
        <f t="shared" si="5"/>
        <v/>
      </c>
      <c r="M83" s="125" t="str">
        <f t="shared" si="6"/>
        <v/>
      </c>
    </row>
    <row r="84" spans="7:13" x14ac:dyDescent="0.3">
      <c r="G84" s="123" t="str">
        <f t="shared" si="5"/>
        <v/>
      </c>
      <c r="M84" s="125" t="str">
        <f t="shared" si="6"/>
        <v/>
      </c>
    </row>
  </sheetData>
  <phoneticPr fontId="1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Лист2</vt:lpstr>
      <vt:lpstr>Бережновка</vt:lpstr>
      <vt:lpstr>Бурты</vt:lpstr>
      <vt:lpstr>Молчановка</vt:lpstr>
      <vt:lpstr>Нижний Балыклей</vt:lpstr>
      <vt:lpstr>Нижний Ураков</vt:lpstr>
      <vt:lpstr>Новоникольское</vt:lpstr>
      <vt:lpstr>Пичуга-Южный</vt:lpstr>
      <vt:lpstr>Пролейский</vt:lpstr>
      <vt:lpstr>Суводская</vt:lpstr>
      <vt:lpstr>Ураков Бугор </vt:lpstr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*</cp:lastModifiedBy>
  <dcterms:created xsi:type="dcterms:W3CDTF">1996-10-08T23:32:33Z</dcterms:created>
  <dcterms:modified xsi:type="dcterms:W3CDTF">2025-11-19T17:54:15Z</dcterms:modified>
</cp:coreProperties>
</file>