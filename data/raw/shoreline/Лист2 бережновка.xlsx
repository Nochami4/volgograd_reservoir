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Материалы к диплому. Переформирование берегов\"/>
    </mc:Choice>
  </mc:AlternateContent>
  <bookViews>
    <workbookView xWindow="0" yWindow="0" windowWidth="38400" windowHeight="1799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E26" i="1" s="1"/>
  <c r="C26" i="1"/>
  <c r="F27" i="1" s="1"/>
  <c r="D24" i="1"/>
  <c r="E24" i="1" s="1"/>
  <c r="C24" i="1"/>
  <c r="F24" i="1" s="1"/>
  <c r="D23" i="1"/>
  <c r="E23" i="1" s="1"/>
  <c r="F23" i="1" s="1"/>
  <c r="C23" i="1"/>
  <c r="E22" i="1"/>
  <c r="D22" i="1"/>
  <c r="C22" i="1"/>
  <c r="F22" i="1" s="1"/>
  <c r="D21" i="1"/>
  <c r="E21" i="1" s="1"/>
  <c r="C21" i="1"/>
  <c r="F21" i="1" s="1"/>
  <c r="D20" i="1"/>
  <c r="E20" i="1" s="1"/>
  <c r="C20" i="1"/>
  <c r="F20" i="1" s="1"/>
  <c r="D19" i="1"/>
  <c r="E19" i="1" s="1"/>
  <c r="F19" i="1" s="1"/>
  <c r="C19" i="1"/>
  <c r="E18" i="1"/>
  <c r="D18" i="1"/>
  <c r="C18" i="1"/>
  <c r="F18" i="1" s="1"/>
  <c r="D17" i="1"/>
  <c r="E17" i="1" s="1"/>
  <c r="C17" i="1"/>
  <c r="F17" i="1" s="1"/>
  <c r="D16" i="1"/>
  <c r="E16" i="1" s="1"/>
  <c r="C16" i="1"/>
  <c r="D15" i="1"/>
  <c r="E15" i="1" s="1"/>
  <c r="F15" i="1" s="1"/>
  <c r="C15" i="1"/>
  <c r="E14" i="1"/>
  <c r="D14" i="1"/>
  <c r="C14" i="1"/>
  <c r="F14" i="1" s="1"/>
  <c r="D13" i="1"/>
  <c r="E13" i="1" s="1"/>
  <c r="C13" i="1"/>
  <c r="F13" i="1" s="1"/>
  <c r="D12" i="1"/>
  <c r="E12" i="1" s="1"/>
  <c r="C12" i="1"/>
  <c r="D11" i="1"/>
  <c r="E11" i="1" s="1"/>
  <c r="F11" i="1" s="1"/>
  <c r="C11" i="1"/>
  <c r="E10" i="1"/>
  <c r="D10" i="1"/>
  <c r="C10" i="1"/>
  <c r="F10" i="1" s="1"/>
  <c r="D9" i="1"/>
  <c r="E9" i="1" s="1"/>
  <c r="C9" i="1"/>
  <c r="D8" i="1"/>
  <c r="E8" i="1" s="1"/>
  <c r="C8" i="1"/>
  <c r="D7" i="1"/>
  <c r="E7" i="1" s="1"/>
  <c r="F7" i="1" s="1"/>
  <c r="C7" i="1"/>
  <c r="E6" i="1"/>
  <c r="D6" i="1"/>
  <c r="C6" i="1"/>
  <c r="F6" i="1" s="1"/>
  <c r="F12" i="1" l="1"/>
  <c r="F28" i="1"/>
  <c r="F8" i="1"/>
  <c r="F9" i="1"/>
  <c r="F29" i="1" s="1"/>
  <c r="F16" i="1"/>
</calcChain>
</file>

<file path=xl/sharedStrings.xml><?xml version="1.0" encoding="utf-8"?>
<sst xmlns="http://schemas.openxmlformats.org/spreadsheetml/2006/main" count="11" uniqueCount="11">
  <si>
    <t>БЕРЕЖНОВКА, ППС 62</t>
  </si>
  <si>
    <t>Дата измерения</t>
  </si>
  <si>
    <t>Положе-ние бров-ки относи-тельно ПН, м</t>
  </si>
  <si>
    <t>Отступле-ние бров-ки за пе-риод, м</t>
  </si>
  <si>
    <t>Продол-житель-ность пе-риода, сут.</t>
  </si>
  <si>
    <t>Продол-житель-ность пе-риода, число лет</t>
  </si>
  <si>
    <t>Темпы от-ступле-ния бров-ки, м/год</t>
  </si>
  <si>
    <t>ОБЩЕЕ:</t>
  </si>
  <si>
    <t>СРЕДНЕЕ:</t>
  </si>
  <si>
    <t>МАКСИМАЛЬНОЕ:</t>
  </si>
  <si>
    <t>МИНИМАЛЬНОЕ: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</si>
</sst>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4"/>
      <name val="Arial"/>
      <family val="2"/>
      <charset val="204"/>
    </font>
    <font>
      <b/>
      <sz val="9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i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justify" vertical="top"/>
    </xf>
    <xf numFmtId="14" fontId="0" fillId="2" borderId="1" xfId="0" applyNumberFormat="1" applyFill="1" applyBorder="1"/>
    <xf numFmtId="2" fontId="0" fillId="2" borderId="1" xfId="0" applyNumberFormat="1" applyFill="1" applyBorder="1"/>
    <xf numFmtId="2" fontId="0" fillId="3" borderId="1" xfId="0" applyNumberFormat="1" applyFill="1" applyBorder="1"/>
    <xf numFmtId="0" fontId="0" fillId="3" borderId="1" xfId="0" applyFill="1" applyBorder="1"/>
    <xf numFmtId="0" fontId="0" fillId="2" borderId="1" xfId="0" applyFill="1" applyBorder="1"/>
    <xf numFmtId="0" fontId="3" fillId="0" borderId="0" xfId="0" applyFont="1"/>
    <xf numFmtId="2" fontId="4" fillId="4" borderId="1" xfId="0" applyNumberFormat="1" applyFont="1" applyFill="1" applyBorder="1"/>
    <xf numFmtId="0" fontId="4" fillId="4" borderId="1" xfId="0" applyFont="1" applyFill="1" applyBorder="1"/>
    <xf numFmtId="2" fontId="5" fillId="4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sqref="A1:G34"/>
    </sheetView>
  </sheetViews>
  <sheetFormatPr defaultRowHeight="14.5" x14ac:dyDescent="0.35"/>
  <sheetData>
    <row r="1" spans="1:6" ht="17.5" x14ac:dyDescent="0.35">
      <c r="A1" s="1" t="s">
        <v>0</v>
      </c>
    </row>
    <row r="3" spans="1:6" ht="69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 spans="1:6" x14ac:dyDescent="0.35">
      <c r="A5" s="3">
        <v>21459</v>
      </c>
      <c r="B5" s="4">
        <v>428.82981568639838</v>
      </c>
    </row>
    <row r="6" spans="1:6" x14ac:dyDescent="0.35">
      <c r="A6" s="3">
        <v>22212</v>
      </c>
      <c r="B6" s="4">
        <v>403.72981568639835</v>
      </c>
      <c r="C6" s="5">
        <f t="shared" ref="C6:C24" si="0">B5-B6</f>
        <v>25.100000000000023</v>
      </c>
      <c r="D6" s="6">
        <f t="shared" ref="D6:D24" si="1">A6-A5</f>
        <v>753</v>
      </c>
      <c r="E6" s="5">
        <f t="shared" ref="E6:E24" si="2">D6/365.25</f>
        <v>2.0616016427104724</v>
      </c>
      <c r="F6" s="5">
        <f t="shared" ref="F6:F24" si="3">C6/E6</f>
        <v>12.17500000000001</v>
      </c>
    </row>
    <row r="7" spans="1:6" x14ac:dyDescent="0.35">
      <c r="A7" s="3">
        <v>23954</v>
      </c>
      <c r="B7" s="4">
        <v>366.57981568639838</v>
      </c>
      <c r="C7" s="5">
        <f t="shared" si="0"/>
        <v>37.149999999999977</v>
      </c>
      <c r="D7" s="6">
        <f t="shared" si="1"/>
        <v>1742</v>
      </c>
      <c r="E7" s="5">
        <f t="shared" si="2"/>
        <v>4.7693360711841208</v>
      </c>
      <c r="F7" s="5">
        <f t="shared" si="3"/>
        <v>7.7893441446613032</v>
      </c>
    </row>
    <row r="8" spans="1:6" x14ac:dyDescent="0.35">
      <c r="A8" s="3">
        <v>25767</v>
      </c>
      <c r="B8" s="4">
        <v>343.23981568639834</v>
      </c>
      <c r="C8" s="5">
        <f t="shared" si="0"/>
        <v>23.340000000000032</v>
      </c>
      <c r="D8" s="6">
        <f t="shared" si="1"/>
        <v>1813</v>
      </c>
      <c r="E8" s="5">
        <f t="shared" si="2"/>
        <v>4.9637234770704994</v>
      </c>
      <c r="F8" s="5">
        <f t="shared" si="3"/>
        <v>4.7021152785438565</v>
      </c>
    </row>
    <row r="9" spans="1:6" x14ac:dyDescent="0.35">
      <c r="A9" s="3">
        <v>27223</v>
      </c>
      <c r="B9" s="4">
        <v>326.63395009159166</v>
      </c>
      <c r="C9" s="5">
        <f t="shared" si="0"/>
        <v>16.605865594806687</v>
      </c>
      <c r="D9" s="6">
        <f t="shared" si="1"/>
        <v>1456</v>
      </c>
      <c r="E9" s="5">
        <f t="shared" si="2"/>
        <v>3.9863107460643397</v>
      </c>
      <c r="F9" s="5">
        <f t="shared" si="3"/>
        <v>4.1657228080378728</v>
      </c>
    </row>
    <row r="10" spans="1:6" x14ac:dyDescent="0.35">
      <c r="A10" s="3">
        <v>29552</v>
      </c>
      <c r="B10" s="4">
        <v>313.97981568639835</v>
      </c>
      <c r="C10" s="5">
        <f t="shared" si="0"/>
        <v>12.654134405193304</v>
      </c>
      <c r="D10" s="6">
        <f t="shared" si="1"/>
        <v>2329</v>
      </c>
      <c r="E10" s="5">
        <f t="shared" si="2"/>
        <v>6.3764544832306642</v>
      </c>
      <c r="F10" s="5">
        <f t="shared" si="3"/>
        <v>1.9845094854001091</v>
      </c>
    </row>
    <row r="11" spans="1:6" x14ac:dyDescent="0.35">
      <c r="A11" s="3">
        <v>31711</v>
      </c>
      <c r="B11" s="4">
        <v>291.95568095468417</v>
      </c>
      <c r="C11" s="5">
        <f t="shared" si="0"/>
        <v>22.024134731714184</v>
      </c>
      <c r="D11" s="6">
        <f t="shared" si="1"/>
        <v>2159</v>
      </c>
      <c r="E11" s="5">
        <f t="shared" si="2"/>
        <v>5.9110198494182065</v>
      </c>
      <c r="F11" s="5">
        <f t="shared" si="3"/>
        <v>3.7259449795083865</v>
      </c>
    </row>
    <row r="12" spans="1:6" x14ac:dyDescent="0.35">
      <c r="A12" s="3">
        <v>33529</v>
      </c>
      <c r="B12" s="4">
        <v>270.29212239798659</v>
      </c>
      <c r="C12" s="5">
        <f t="shared" si="0"/>
        <v>21.663558556697581</v>
      </c>
      <c r="D12" s="6">
        <f t="shared" si="1"/>
        <v>1818</v>
      </c>
      <c r="E12" s="5">
        <f t="shared" si="2"/>
        <v>4.9774127310061598</v>
      </c>
      <c r="F12" s="5">
        <f t="shared" si="3"/>
        <v>4.3523733568942751</v>
      </c>
    </row>
    <row r="13" spans="1:6" x14ac:dyDescent="0.35">
      <c r="A13" s="3">
        <v>34628</v>
      </c>
      <c r="B13" s="4">
        <v>248.59204690653323</v>
      </c>
      <c r="C13" s="5">
        <f t="shared" si="0"/>
        <v>21.700075491453362</v>
      </c>
      <c r="D13" s="6">
        <f t="shared" si="1"/>
        <v>1099</v>
      </c>
      <c r="E13" s="5">
        <f t="shared" si="2"/>
        <v>3.0088980150581794</v>
      </c>
      <c r="F13" s="5">
        <f t="shared" si="3"/>
        <v>7.2119677645617291</v>
      </c>
    </row>
    <row r="14" spans="1:6" x14ac:dyDescent="0.35">
      <c r="A14" s="3">
        <v>36720</v>
      </c>
      <c r="B14" s="4">
        <v>216.73981568639834</v>
      </c>
      <c r="C14" s="5">
        <f t="shared" si="0"/>
        <v>31.852231220134883</v>
      </c>
      <c r="D14" s="6">
        <f t="shared" si="1"/>
        <v>2092</v>
      </c>
      <c r="E14" s="5">
        <f t="shared" si="2"/>
        <v>5.7275838466803561</v>
      </c>
      <c r="F14" s="5">
        <f t="shared" si="3"/>
        <v>5.5611985913739321</v>
      </c>
    </row>
    <row r="15" spans="1:6" x14ac:dyDescent="0.35">
      <c r="A15" s="3">
        <v>38640</v>
      </c>
      <c r="B15" s="4">
        <v>180.44548040816096</v>
      </c>
      <c r="C15" s="5">
        <f t="shared" si="0"/>
        <v>36.294335278237384</v>
      </c>
      <c r="D15" s="6">
        <f t="shared" si="1"/>
        <v>1920</v>
      </c>
      <c r="E15" s="5">
        <f t="shared" si="2"/>
        <v>5.2566735112936342</v>
      </c>
      <c r="F15" s="5">
        <f t="shared" si="3"/>
        <v>6.9044301876959402</v>
      </c>
    </row>
    <row r="16" spans="1:6" x14ac:dyDescent="0.35">
      <c r="A16" s="3">
        <v>38920</v>
      </c>
      <c r="B16" s="4">
        <v>175.84</v>
      </c>
      <c r="C16" s="5">
        <f t="shared" si="0"/>
        <v>4.6054804081609575</v>
      </c>
      <c r="D16" s="6">
        <f t="shared" si="1"/>
        <v>280</v>
      </c>
      <c r="E16" s="5">
        <f t="shared" si="2"/>
        <v>0.76659822039698833</v>
      </c>
      <c r="F16" s="5">
        <f t="shared" si="3"/>
        <v>6.0076847110028204</v>
      </c>
    </row>
    <row r="17" spans="1:6" x14ac:dyDescent="0.35">
      <c r="A17" s="3">
        <v>38990</v>
      </c>
      <c r="B17" s="4">
        <v>175.79000000000002</v>
      </c>
      <c r="C17" s="5">
        <f t="shared" si="0"/>
        <v>4.9999999999982947E-2</v>
      </c>
      <c r="D17" s="6">
        <f t="shared" si="1"/>
        <v>70</v>
      </c>
      <c r="E17" s="5">
        <f t="shared" si="2"/>
        <v>0.19164955509924708</v>
      </c>
      <c r="F17" s="5">
        <f t="shared" si="3"/>
        <v>0.26089285714276816</v>
      </c>
    </row>
    <row r="18" spans="1:6" x14ac:dyDescent="0.35">
      <c r="A18" s="3">
        <v>40014</v>
      </c>
      <c r="B18" s="4">
        <v>146.9</v>
      </c>
      <c r="C18" s="5">
        <f t="shared" si="0"/>
        <v>28.890000000000015</v>
      </c>
      <c r="D18" s="6">
        <f t="shared" si="1"/>
        <v>1024</v>
      </c>
      <c r="E18" s="5">
        <f t="shared" si="2"/>
        <v>2.8035592060232717</v>
      </c>
      <c r="F18" s="5">
        <f t="shared" si="3"/>
        <v>10.304758300781256</v>
      </c>
    </row>
    <row r="19" spans="1:6" x14ac:dyDescent="0.35">
      <c r="A19" s="3">
        <v>40383</v>
      </c>
      <c r="B19" s="4">
        <v>144.63</v>
      </c>
      <c r="C19" s="5">
        <f t="shared" si="0"/>
        <v>2.2700000000000102</v>
      </c>
      <c r="D19" s="6">
        <f t="shared" si="1"/>
        <v>369</v>
      </c>
      <c r="E19" s="5">
        <f t="shared" si="2"/>
        <v>1.0102669404517455</v>
      </c>
      <c r="F19" s="5">
        <f t="shared" si="3"/>
        <v>2.246930894308953</v>
      </c>
    </row>
    <row r="20" spans="1:6" x14ac:dyDescent="0.35">
      <c r="A20" s="3">
        <v>40800</v>
      </c>
      <c r="B20" s="4">
        <v>143.99</v>
      </c>
      <c r="C20" s="5">
        <f t="shared" si="0"/>
        <v>0.63999999999998636</v>
      </c>
      <c r="D20" s="6">
        <f t="shared" si="1"/>
        <v>417</v>
      </c>
      <c r="E20" s="5">
        <f t="shared" si="2"/>
        <v>1.1416837782340863</v>
      </c>
      <c r="F20" s="5">
        <f t="shared" si="3"/>
        <v>0.56057553956833339</v>
      </c>
    </row>
    <row r="21" spans="1:6" x14ac:dyDescent="0.35">
      <c r="A21" s="3">
        <v>41198</v>
      </c>
      <c r="B21" s="4">
        <v>143.25</v>
      </c>
      <c r="C21" s="5">
        <f t="shared" si="0"/>
        <v>0.74000000000000909</v>
      </c>
      <c r="D21" s="6">
        <f t="shared" si="1"/>
        <v>398</v>
      </c>
      <c r="E21" s="5">
        <f t="shared" si="2"/>
        <v>1.0896646132785763</v>
      </c>
      <c r="F21" s="5">
        <f t="shared" si="3"/>
        <v>0.67910804020101334</v>
      </c>
    </row>
    <row r="22" spans="1:6" x14ac:dyDescent="0.35">
      <c r="A22" s="3">
        <v>41464</v>
      </c>
      <c r="B22" s="4">
        <v>137.19999999999999</v>
      </c>
      <c r="C22" s="5">
        <f t="shared" si="0"/>
        <v>6.0500000000000114</v>
      </c>
      <c r="D22" s="6">
        <f t="shared" si="1"/>
        <v>266</v>
      </c>
      <c r="E22" s="5">
        <f t="shared" si="2"/>
        <v>0.72826830937713893</v>
      </c>
      <c r="F22" s="5">
        <f t="shared" si="3"/>
        <v>8.3073778195488881</v>
      </c>
    </row>
    <row r="23" spans="1:6" x14ac:dyDescent="0.35">
      <c r="A23" s="3">
        <v>42515</v>
      </c>
      <c r="B23" s="7">
        <v>125.15</v>
      </c>
      <c r="C23" s="5">
        <f t="shared" si="0"/>
        <v>12.049999999999983</v>
      </c>
      <c r="D23" s="6">
        <f t="shared" si="1"/>
        <v>1051</v>
      </c>
      <c r="E23" s="5">
        <f t="shared" si="2"/>
        <v>2.8774811772758384</v>
      </c>
      <c r="F23" s="5">
        <f t="shared" si="3"/>
        <v>4.1876902949571777</v>
      </c>
    </row>
    <row r="24" spans="1:6" x14ac:dyDescent="0.35">
      <c r="A24" s="3">
        <v>43691</v>
      </c>
      <c r="B24" s="4">
        <v>121.8</v>
      </c>
      <c r="C24" s="5">
        <f t="shared" si="0"/>
        <v>3.3500000000000085</v>
      </c>
      <c r="D24" s="6">
        <f t="shared" si="1"/>
        <v>1176</v>
      </c>
      <c r="E24" s="5">
        <f t="shared" si="2"/>
        <v>3.2197125256673513</v>
      </c>
      <c r="F24" s="5">
        <f t="shared" si="3"/>
        <v>1.0404655612244924</v>
      </c>
    </row>
    <row r="26" spans="1:6" x14ac:dyDescent="0.35">
      <c r="A26" s="8" t="s">
        <v>7</v>
      </c>
      <c r="C26" s="9">
        <f>B5-B24</f>
        <v>307.02981568639836</v>
      </c>
      <c r="D26" s="10">
        <f>A24-A5</f>
        <v>22232</v>
      </c>
      <c r="E26" s="9">
        <f>D26/365.25</f>
        <v>60.867898699520879</v>
      </c>
    </row>
    <row r="27" spans="1:6" x14ac:dyDescent="0.35">
      <c r="A27" s="8" t="s">
        <v>8</v>
      </c>
      <c r="F27" s="9">
        <f>C26/E26</f>
        <v>5.0441993603570081</v>
      </c>
    </row>
    <row r="28" spans="1:6" x14ac:dyDescent="0.35">
      <c r="A28" s="8" t="s">
        <v>9</v>
      </c>
      <c r="F28" s="11">
        <f>MAX(F6:F24)</f>
        <v>12.17500000000001</v>
      </c>
    </row>
    <row r="29" spans="1:6" x14ac:dyDescent="0.35">
      <c r="A29" s="8" t="s">
        <v>10</v>
      </c>
      <c r="F29" s="11">
        <f>MIN(F6:F24)</f>
        <v>0.26089285714276816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*</cp:lastModifiedBy>
  <dcterms:created xsi:type="dcterms:W3CDTF">2025-11-27T18:12:46Z</dcterms:created>
  <dcterms:modified xsi:type="dcterms:W3CDTF">2025-11-27T18:13:12Z</dcterms:modified>
</cp:coreProperties>
</file>