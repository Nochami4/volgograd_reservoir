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8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9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 firstSheet="7" activeTab="11"/>
  </bookViews>
  <sheets>
    <sheet name="Нижний Ураков" sheetId="1" r:id="rId1"/>
    <sheet name="Нижний Балыклей" sheetId="4" r:id="rId2"/>
    <sheet name="Бережновка" sheetId="5" r:id="rId3"/>
    <sheet name="Бурты" sheetId="6" r:id="rId4"/>
    <sheet name="Пролейский" sheetId="7" r:id="rId5"/>
    <sheet name="Молчановка" sheetId="8" r:id="rId6"/>
    <sheet name="Пичуга-Южный" sheetId="9" r:id="rId7"/>
    <sheet name="Ураков Бугор" sheetId="10" r:id="rId8"/>
    <sheet name="Новоникольское" sheetId="11" r:id="rId9"/>
    <sheet name="Сводная" sheetId="2" r:id="rId10"/>
    <sheet name="Сводная (2)" sheetId="12" r:id="rId11"/>
    <sheet name="Сводная периоды" sheetId="3" r:id="rId12"/>
    <sheet name="Лист1" sheetId="13" r:id="rId13"/>
  </sheets>
  <calcPr calcId="145621"/>
</workbook>
</file>

<file path=xl/calcChain.xml><?xml version="1.0" encoding="utf-8"?>
<calcChain xmlns="http://schemas.openxmlformats.org/spreadsheetml/2006/main">
  <c r="K29" i="11" l="1"/>
  <c r="F25" i="11"/>
  <c r="C25" i="11"/>
  <c r="P25" i="11" l="1"/>
  <c r="P29" i="11" s="1"/>
  <c r="K25" i="11"/>
  <c r="F29" i="11"/>
  <c r="F24" i="11"/>
  <c r="T36" i="5" l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P25" i="5"/>
  <c r="M36" i="5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F36" i="5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S38" i="4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37" i="4"/>
  <c r="L38" i="4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37" i="4"/>
  <c r="F37" i="4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X38" i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L38" i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C98" i="7" l="1"/>
  <c r="C99" i="7"/>
  <c r="C97" i="7"/>
  <c r="R36" i="8" l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L36" i="8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F36" i="8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Q37" i="6" l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L37" i="6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F37" i="6"/>
  <c r="F38" i="6" s="1"/>
  <c r="F39" i="6" s="1"/>
  <c r="F40" i="6" s="1"/>
  <c r="F41" i="6" s="1"/>
  <c r="F42" i="6" s="1"/>
  <c r="F43" i="6" s="1"/>
  <c r="S96" i="7"/>
  <c r="S95" i="7"/>
  <c r="S94" i="7"/>
  <c r="R36" i="7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L36" i="7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F36" i="7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R33" i="1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F30" i="9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36" i="10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R36" i="10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L36" i="10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33" i="1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F33" i="1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P17" i="10"/>
  <c r="K22" i="10"/>
  <c r="R29" i="9"/>
  <c r="R30" i="9" s="1"/>
  <c r="R31" i="9" s="1"/>
  <c r="R32" i="9" s="1"/>
  <c r="R33" i="9" s="1"/>
  <c r="R34" i="9" s="1"/>
  <c r="R35" i="9" s="1"/>
  <c r="L29" i="9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F29" i="9"/>
  <c r="C5" i="9"/>
  <c r="F5" i="9" s="1"/>
  <c r="F44" i="6" l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44" i="11"/>
  <c r="F45" i="11" s="1"/>
  <c r="F46" i="11" s="1"/>
  <c r="F47" i="11" s="1"/>
  <c r="P24" i="4"/>
  <c r="C27" i="5"/>
  <c r="F27" i="5" s="1"/>
  <c r="M21" i="9" l="1"/>
  <c r="P21" i="9" s="1"/>
  <c r="Q11" i="7"/>
  <c r="N8" i="7"/>
  <c r="Q8" i="7" s="1"/>
  <c r="N14" i="7"/>
  <c r="N15" i="7"/>
  <c r="Q15" i="7" s="1"/>
  <c r="Q16" i="7"/>
  <c r="N21" i="7"/>
  <c r="Q21" i="7" s="1"/>
  <c r="N25" i="7"/>
  <c r="Q25" i="7" s="1"/>
  <c r="Q23" i="7"/>
  <c r="Q17" i="7"/>
  <c r="Q13" i="7"/>
  <c r="Q12" i="7"/>
  <c r="Q10" i="7"/>
  <c r="Q9" i="7"/>
  <c r="Q6" i="7"/>
  <c r="Q5" i="7"/>
  <c r="M14" i="9"/>
  <c r="P14" i="9" s="1"/>
  <c r="M16" i="9"/>
  <c r="M19" i="9"/>
  <c r="P19" i="9" s="1"/>
  <c r="P5" i="9"/>
  <c r="P20" i="9"/>
  <c r="P9" i="9"/>
  <c r="P8" i="9"/>
  <c r="P7" i="9"/>
  <c r="P6" i="9"/>
  <c r="H21" i="9"/>
  <c r="K21" i="9" s="1"/>
  <c r="C21" i="9"/>
  <c r="F21" i="9" s="1"/>
  <c r="M27" i="10"/>
  <c r="P27" i="10" s="1"/>
  <c r="H27" i="10"/>
  <c r="Q30" i="7" l="1"/>
  <c r="K27" i="10"/>
  <c r="C27" i="10"/>
  <c r="P23" i="11"/>
  <c r="P24" i="11"/>
  <c r="K23" i="11"/>
  <c r="K24" i="11"/>
  <c r="C24" i="11"/>
  <c r="C23" i="11"/>
  <c r="F23" i="11" s="1"/>
  <c r="C28" i="7"/>
  <c r="F28" i="7"/>
  <c r="L28" i="7"/>
  <c r="U27" i="1"/>
  <c r="P27" i="1"/>
  <c r="C27" i="1"/>
  <c r="F27" i="1" s="1"/>
  <c r="P27" i="4"/>
  <c r="P28" i="4"/>
  <c r="H25" i="4"/>
  <c r="H21" i="4"/>
  <c r="H23" i="4"/>
  <c r="H26" i="4"/>
  <c r="H27" i="4"/>
  <c r="K27" i="4" s="1"/>
  <c r="H28" i="4"/>
  <c r="K28" i="4" s="1"/>
  <c r="P28" i="6"/>
  <c r="K27" i="6"/>
  <c r="K28" i="6"/>
  <c r="P27" i="6"/>
  <c r="C28" i="6"/>
  <c r="F28" i="6" s="1"/>
  <c r="C27" i="6"/>
  <c r="F27" i="6" s="1"/>
  <c r="P28" i="5"/>
  <c r="H28" i="5"/>
  <c r="K28" i="5" s="1"/>
  <c r="K27" i="5"/>
  <c r="C28" i="5"/>
  <c r="F28" i="5" s="1"/>
  <c r="F26" i="10" l="1"/>
  <c r="F25" i="10"/>
  <c r="P27" i="8" l="1"/>
  <c r="K27" i="8"/>
  <c r="F27" i="8"/>
  <c r="F26" i="8"/>
  <c r="F24" i="6" l="1"/>
  <c r="K19" i="10" l="1"/>
  <c r="F13" i="10"/>
  <c r="U17" i="1"/>
  <c r="P6" i="10" l="1"/>
  <c r="P7" i="10"/>
  <c r="P8" i="10"/>
  <c r="P15" i="10"/>
  <c r="P16" i="10"/>
  <c r="P5" i="10"/>
  <c r="K6" i="9"/>
  <c r="K7" i="9"/>
  <c r="K8" i="9"/>
  <c r="K9" i="9"/>
  <c r="K12" i="9"/>
  <c r="K13" i="9"/>
  <c r="K5" i="9"/>
  <c r="K18" i="4"/>
  <c r="K16" i="4"/>
  <c r="K6" i="4"/>
  <c r="K7" i="4"/>
  <c r="K8" i="4"/>
  <c r="K9" i="4"/>
  <c r="K10" i="4"/>
  <c r="K11" i="4"/>
  <c r="K12" i="4"/>
  <c r="K13" i="4"/>
  <c r="K14" i="4"/>
  <c r="K19" i="4"/>
  <c r="K20" i="4"/>
  <c r="K5" i="4"/>
  <c r="P7" i="11"/>
  <c r="P8" i="11"/>
  <c r="P9" i="11"/>
  <c r="P10" i="11"/>
  <c r="P11" i="11"/>
  <c r="P12" i="11"/>
  <c r="P13" i="11"/>
  <c r="P15" i="11"/>
  <c r="P16" i="11"/>
  <c r="P6" i="11"/>
  <c r="K8" i="11"/>
  <c r="K9" i="11"/>
  <c r="K10" i="11"/>
  <c r="K11" i="11"/>
  <c r="K12" i="11"/>
  <c r="K14" i="11"/>
  <c r="K15" i="11"/>
  <c r="K16" i="11"/>
  <c r="K6" i="11"/>
  <c r="F6" i="11"/>
  <c r="F7" i="11"/>
  <c r="F8" i="11"/>
  <c r="F9" i="11"/>
  <c r="F10" i="11"/>
  <c r="F11" i="11"/>
  <c r="F13" i="11"/>
  <c r="F15" i="11"/>
  <c r="K9" i="10"/>
  <c r="K6" i="10"/>
  <c r="K10" i="10"/>
  <c r="K15" i="10"/>
  <c r="K16" i="10"/>
  <c r="K5" i="10"/>
  <c r="F6" i="10"/>
  <c r="F7" i="10"/>
  <c r="F10" i="10"/>
  <c r="F16" i="10"/>
  <c r="F5" i="10"/>
  <c r="F6" i="9"/>
  <c r="F7" i="9"/>
  <c r="F9" i="9"/>
  <c r="F12" i="9"/>
  <c r="F13" i="9"/>
  <c r="P6" i="8"/>
  <c r="P7" i="8"/>
  <c r="P8" i="8"/>
  <c r="P9" i="8"/>
  <c r="P10" i="8"/>
  <c r="P11" i="8"/>
  <c r="P12" i="8"/>
  <c r="P13" i="8"/>
  <c r="P14" i="8"/>
  <c r="P16" i="8"/>
  <c r="P17" i="8"/>
  <c r="P18" i="8"/>
  <c r="P5" i="8"/>
  <c r="K6" i="8"/>
  <c r="K7" i="8"/>
  <c r="K8" i="8"/>
  <c r="K9" i="8"/>
  <c r="K10" i="8"/>
  <c r="K11" i="8"/>
  <c r="K12" i="8"/>
  <c r="K13" i="8"/>
  <c r="K14" i="8"/>
  <c r="K16" i="8"/>
  <c r="K17" i="8"/>
  <c r="K18" i="8"/>
  <c r="K5" i="8"/>
  <c r="F6" i="8"/>
  <c r="F7" i="8"/>
  <c r="F8" i="8"/>
  <c r="F9" i="8"/>
  <c r="F10" i="8"/>
  <c r="F11" i="8"/>
  <c r="F12" i="8"/>
  <c r="F13" i="8"/>
  <c r="F14" i="8"/>
  <c r="F16" i="8"/>
  <c r="F17" i="8"/>
  <c r="F18" i="8"/>
  <c r="F5" i="8"/>
  <c r="L6" i="7"/>
  <c r="L7" i="7"/>
  <c r="L8" i="7"/>
  <c r="L9" i="7"/>
  <c r="L10" i="7"/>
  <c r="L12" i="7"/>
  <c r="L13" i="7"/>
  <c r="L15" i="7"/>
  <c r="L17" i="7"/>
  <c r="L5" i="7"/>
  <c r="F6" i="7"/>
  <c r="F7" i="7"/>
  <c r="F8" i="7"/>
  <c r="F9" i="7"/>
  <c r="F10" i="7"/>
  <c r="F11" i="7"/>
  <c r="F12" i="7"/>
  <c r="F13" i="7"/>
  <c r="F15" i="7"/>
  <c r="F16" i="7"/>
  <c r="F17" i="7"/>
  <c r="F5" i="7"/>
  <c r="P6" i="6"/>
  <c r="P7" i="6"/>
  <c r="P8" i="6"/>
  <c r="P9" i="6"/>
  <c r="P10" i="6"/>
  <c r="P11" i="6"/>
  <c r="P13" i="6"/>
  <c r="P14" i="6"/>
  <c r="P16" i="6"/>
  <c r="P17" i="6"/>
  <c r="P5" i="6"/>
  <c r="K6" i="6"/>
  <c r="K7" i="6"/>
  <c r="K8" i="6"/>
  <c r="K9" i="6"/>
  <c r="K10" i="6"/>
  <c r="K11" i="6"/>
  <c r="K13" i="6"/>
  <c r="K14" i="6"/>
  <c r="K16" i="6"/>
  <c r="K17" i="6"/>
  <c r="K5" i="6"/>
  <c r="F6" i="6"/>
  <c r="F7" i="6"/>
  <c r="F8" i="6"/>
  <c r="F9" i="6"/>
  <c r="F10" i="6"/>
  <c r="F11" i="6"/>
  <c r="F13" i="6"/>
  <c r="F14" i="6"/>
  <c r="F16" i="6"/>
  <c r="F17" i="6"/>
  <c r="F5" i="6"/>
  <c r="P21" i="5"/>
  <c r="P7" i="5"/>
  <c r="P8" i="5"/>
  <c r="P9" i="5"/>
  <c r="P10" i="5"/>
  <c r="P11" i="5"/>
  <c r="P12" i="5"/>
  <c r="P13" i="5"/>
  <c r="P14" i="5"/>
  <c r="P17" i="5"/>
  <c r="P19" i="5"/>
  <c r="P6" i="5"/>
  <c r="K7" i="5"/>
  <c r="K8" i="5"/>
  <c r="K9" i="5"/>
  <c r="K10" i="5"/>
  <c r="K11" i="5"/>
  <c r="K12" i="5"/>
  <c r="K13" i="5"/>
  <c r="K14" i="5"/>
  <c r="K15" i="5"/>
  <c r="K17" i="5"/>
  <c r="K19" i="5"/>
  <c r="K20" i="5"/>
  <c r="K21" i="5"/>
  <c r="K6" i="5"/>
  <c r="F19" i="5"/>
  <c r="F7" i="5"/>
  <c r="F8" i="5"/>
  <c r="F9" i="5"/>
  <c r="F10" i="5"/>
  <c r="F11" i="5"/>
  <c r="F12" i="5"/>
  <c r="F13" i="5"/>
  <c r="F14" i="5"/>
  <c r="F15" i="5"/>
  <c r="F16" i="5"/>
  <c r="F21" i="5"/>
  <c r="F6" i="5"/>
  <c r="P6" i="4"/>
  <c r="P7" i="4"/>
  <c r="P8" i="4"/>
  <c r="P9" i="4"/>
  <c r="P10" i="4"/>
  <c r="P11" i="4"/>
  <c r="P12" i="4"/>
  <c r="P13" i="4"/>
  <c r="P14" i="4"/>
  <c r="P15" i="4"/>
  <c r="P16" i="4"/>
  <c r="P17" i="4"/>
  <c r="P19" i="4"/>
  <c r="P5" i="4"/>
  <c r="F18" i="4"/>
  <c r="F16" i="4"/>
  <c r="F6" i="4"/>
  <c r="F7" i="4"/>
  <c r="F8" i="4"/>
  <c r="F9" i="4"/>
  <c r="F10" i="4"/>
  <c r="F11" i="4"/>
  <c r="F12" i="4"/>
  <c r="F13" i="4"/>
  <c r="F19" i="4"/>
  <c r="F20" i="4"/>
  <c r="F5" i="4"/>
  <c r="U6" i="1"/>
  <c r="U7" i="1"/>
  <c r="U10" i="1"/>
  <c r="U11" i="1"/>
  <c r="U12" i="1"/>
  <c r="U13" i="1"/>
  <c r="U14" i="1"/>
  <c r="U16" i="1"/>
  <c r="P6" i="1"/>
  <c r="P8" i="1"/>
  <c r="P9" i="1"/>
  <c r="P10" i="1"/>
  <c r="P12" i="1"/>
  <c r="P14" i="1"/>
  <c r="P16" i="1"/>
  <c r="P17" i="1"/>
  <c r="P18" i="1"/>
  <c r="P5" i="1"/>
  <c r="F6" i="1"/>
  <c r="F7" i="1"/>
  <c r="F8" i="1"/>
  <c r="F10" i="1"/>
  <c r="F11" i="1"/>
  <c r="F12" i="1"/>
  <c r="F13" i="1"/>
  <c r="F14" i="1"/>
  <c r="F16" i="1"/>
  <c r="F18" i="1"/>
  <c r="F5" i="1"/>
  <c r="F25" i="1"/>
  <c r="F22" i="1"/>
  <c r="P21" i="4" l="1"/>
  <c r="P22" i="11" l="1"/>
  <c r="P21" i="11"/>
  <c r="P20" i="11"/>
  <c r="P19" i="11"/>
  <c r="P17" i="11"/>
  <c r="K18" i="11"/>
  <c r="K17" i="11"/>
  <c r="F22" i="11"/>
  <c r="F20" i="11"/>
  <c r="K22" i="11"/>
  <c r="K21" i="11"/>
  <c r="K20" i="11"/>
  <c r="K19" i="11"/>
  <c r="F19" i="11"/>
  <c r="P18" i="11"/>
  <c r="F17" i="11"/>
  <c r="P24" i="10"/>
  <c r="P18" i="10"/>
  <c r="K21" i="10"/>
  <c r="K18" i="10"/>
  <c r="K17" i="10"/>
  <c r="F20" i="10"/>
  <c r="F18" i="10"/>
  <c r="K25" i="10"/>
  <c r="K23" i="10"/>
  <c r="F21" i="10"/>
  <c r="K20" i="10"/>
  <c r="P19" i="10"/>
  <c r="F19" i="10"/>
  <c r="F17" i="10"/>
  <c r="K19" i="9"/>
  <c r="K18" i="9"/>
  <c r="K17" i="9"/>
  <c r="K15" i="9"/>
  <c r="F19" i="9"/>
  <c r="F17" i="9"/>
  <c r="F18" i="9"/>
  <c r="F16" i="9"/>
  <c r="F14" i="9"/>
  <c r="K20" i="9"/>
  <c r="F15" i="9"/>
  <c r="K14" i="9"/>
  <c r="K24" i="8"/>
  <c r="P24" i="8"/>
  <c r="P25" i="8"/>
  <c r="P22" i="8"/>
  <c r="P20" i="8"/>
  <c r="K25" i="8"/>
  <c r="K22" i="8"/>
  <c r="K21" i="8"/>
  <c r="K20" i="8"/>
  <c r="K19" i="8"/>
  <c r="F25" i="8"/>
  <c r="F24" i="8"/>
  <c r="F22" i="8"/>
  <c r="P26" i="8"/>
  <c r="K26" i="8"/>
  <c r="P23" i="8"/>
  <c r="K23" i="8"/>
  <c r="F23" i="8"/>
  <c r="P21" i="8"/>
  <c r="P19" i="8"/>
  <c r="F19" i="8"/>
  <c r="L26" i="7"/>
  <c r="L24" i="7"/>
  <c r="L22" i="7"/>
  <c r="L20" i="7"/>
  <c r="F26" i="7"/>
  <c r="F23" i="7"/>
  <c r="F21" i="7"/>
  <c r="F20" i="7"/>
  <c r="F19" i="7"/>
  <c r="L23" i="7"/>
  <c r="L21" i="7"/>
  <c r="L19" i="7"/>
  <c r="P20" i="6"/>
  <c r="P21" i="6"/>
  <c r="P22" i="6"/>
  <c r="P24" i="6"/>
  <c r="P25" i="6"/>
  <c r="P19" i="6"/>
  <c r="K24" i="6"/>
  <c r="K25" i="6"/>
  <c r="K26" i="6"/>
  <c r="K19" i="6"/>
  <c r="K18" i="6"/>
  <c r="F26" i="6"/>
  <c r="F25" i="6"/>
  <c r="F23" i="6"/>
  <c r="F18" i="6"/>
  <c r="F22" i="6"/>
  <c r="F19" i="6"/>
  <c r="K23" i="6"/>
  <c r="K22" i="6"/>
  <c r="K21" i="6"/>
  <c r="F21" i="6"/>
  <c r="K20" i="6"/>
  <c r="F20" i="6"/>
  <c r="P18" i="6"/>
  <c r="P22" i="5"/>
  <c r="P27" i="5"/>
  <c r="K26" i="5"/>
  <c r="K22" i="5"/>
  <c r="F23" i="5"/>
  <c r="F26" i="5"/>
  <c r="F25" i="5"/>
  <c r="F24" i="5"/>
  <c r="P26" i="5"/>
  <c r="K25" i="5"/>
  <c r="K24" i="5"/>
  <c r="P23" i="5"/>
  <c r="K23" i="5"/>
  <c r="F32" i="5" l="1"/>
  <c r="K30" i="5"/>
  <c r="K32" i="5"/>
  <c r="P32" i="5"/>
  <c r="P29" i="10"/>
  <c r="K31" i="10"/>
  <c r="K29" i="10"/>
  <c r="P31" i="8"/>
  <c r="P29" i="8"/>
  <c r="F25" i="9"/>
  <c r="F23" i="9"/>
  <c r="K25" i="9"/>
  <c r="K23" i="9"/>
  <c r="F29" i="10"/>
  <c r="F31" i="10"/>
  <c r="P27" i="11"/>
  <c r="F30" i="5"/>
  <c r="F32" i="6"/>
  <c r="F30" i="6"/>
  <c r="P30" i="5"/>
  <c r="F30" i="7"/>
  <c r="F32" i="7"/>
  <c r="F27" i="11"/>
  <c r="K30" i="6"/>
  <c r="K32" i="6"/>
  <c r="P32" i="6"/>
  <c r="P30" i="6"/>
  <c r="L32" i="7"/>
  <c r="L30" i="7"/>
  <c r="F31" i="8"/>
  <c r="F29" i="8"/>
  <c r="K29" i="8"/>
  <c r="K31" i="8"/>
  <c r="K27" i="11"/>
  <c r="F21" i="4"/>
  <c r="F25" i="4"/>
  <c r="P26" i="4"/>
  <c r="K26" i="4"/>
  <c r="P25" i="4"/>
  <c r="K25" i="4"/>
  <c r="F24" i="4"/>
  <c r="P23" i="4"/>
  <c r="K23" i="4"/>
  <c r="F23" i="4"/>
  <c r="F22" i="4"/>
  <c r="K21" i="4"/>
  <c r="F30" i="4" l="1"/>
  <c r="K32" i="4"/>
  <c r="K30" i="4"/>
  <c r="P30" i="4"/>
  <c r="P32" i="4"/>
  <c r="F32" i="4"/>
  <c r="U21" i="1"/>
  <c r="U22" i="1"/>
  <c r="U23" i="1"/>
  <c r="U24" i="1"/>
  <c r="U25" i="1"/>
  <c r="U26" i="1"/>
  <c r="U20" i="1"/>
  <c r="P22" i="1"/>
  <c r="P23" i="1"/>
  <c r="P25" i="1"/>
  <c r="P26" i="1"/>
  <c r="P20" i="1"/>
  <c r="K20" i="1"/>
  <c r="K21" i="1"/>
  <c r="K22" i="1"/>
  <c r="K26" i="1"/>
  <c r="K25" i="1"/>
  <c r="K24" i="1"/>
  <c r="K23" i="1"/>
  <c r="F23" i="1"/>
  <c r="F24" i="1"/>
  <c r="F26" i="1"/>
  <c r="K33" i="1" l="1"/>
  <c r="K30" i="1"/>
  <c r="F33" i="1"/>
  <c r="F30" i="1"/>
  <c r="P33" i="1"/>
  <c r="P30" i="1"/>
  <c r="U30" i="1"/>
  <c r="U33" i="1"/>
</calcChain>
</file>

<file path=xl/sharedStrings.xml><?xml version="1.0" encoding="utf-8"?>
<sst xmlns="http://schemas.openxmlformats.org/spreadsheetml/2006/main" count="244" uniqueCount="51">
  <si>
    <t>Нижний Ураков</t>
  </si>
  <si>
    <t>Профиль 1</t>
  </si>
  <si>
    <t>Профиль 2</t>
  </si>
  <si>
    <t>Профиль 3</t>
  </si>
  <si>
    <t>Профиль 4</t>
  </si>
  <si>
    <t>Профиль 60</t>
  </si>
  <si>
    <t>Профиль 61</t>
  </si>
  <si>
    <t>Профиль 62</t>
  </si>
  <si>
    <t>Пролейский</t>
  </si>
  <si>
    <t>Бурты</t>
  </si>
  <si>
    <t>Бережновка</t>
  </si>
  <si>
    <t>Нижний Балыклей</t>
  </si>
  <si>
    <t>Молчановка</t>
  </si>
  <si>
    <t>Профиль 57</t>
  </si>
  <si>
    <t>Профиль 58</t>
  </si>
  <si>
    <t>Профиль 59</t>
  </si>
  <si>
    <t>Пичуга-Южный</t>
  </si>
  <si>
    <t>Профиль 5</t>
  </si>
  <si>
    <t>Ураков Бугор</t>
  </si>
  <si>
    <t>Новоникольское</t>
  </si>
  <si>
    <t>Профиль 49</t>
  </si>
  <si>
    <t>Профиль 50</t>
  </si>
  <si>
    <t>Профиль 51</t>
  </si>
  <si>
    <t>Среднее</t>
  </si>
  <si>
    <t>с 2000 года</t>
  </si>
  <si>
    <t>Название участка</t>
  </si>
  <si>
    <t>№ профиля</t>
  </si>
  <si>
    <t>Максимум</t>
  </si>
  <si>
    <t>Профиль 52</t>
  </si>
  <si>
    <t>Профиль 54</t>
  </si>
  <si>
    <t>Темп отступания, м/г</t>
  </si>
  <si>
    <t xml:space="preserve">Средний </t>
  </si>
  <si>
    <t xml:space="preserve">Максимальный </t>
  </si>
  <si>
    <t>Левый берег</t>
  </si>
  <si>
    <t>Правый берег</t>
  </si>
  <si>
    <t>Берег острова</t>
  </si>
  <si>
    <t>Профиль 6</t>
  </si>
  <si>
    <t>Профиль 53</t>
  </si>
  <si>
    <t>1999-2009 гг. Активизация процесса. Бережновка, Новоникольское, Нижний Балыклей.</t>
  </si>
  <si>
    <t>На отдельных профилях активизация в разные годы.</t>
  </si>
  <si>
    <t>С 2020 г. активизация процесса.</t>
  </si>
  <si>
    <t>Профиль 1 - консервация профиля с 2001 года.</t>
  </si>
  <si>
    <t>Профиль 2 - стоял 2015-2020 гг. С 2021 г. снова процесс идет.</t>
  </si>
  <si>
    <t>Профиль 1 - с 2013 г. консервация профиля?</t>
  </si>
  <si>
    <t>Среднегодовые скорости отступания, м/г.</t>
  </si>
  <si>
    <t>1991 г.?</t>
  </si>
  <si>
    <t>Активизация?</t>
  </si>
  <si>
    <t>Годы</t>
  </si>
  <si>
    <t>Уровень, м</t>
  </si>
  <si>
    <t>Скорость отступания, м/г</t>
  </si>
  <si>
    <t>Отступание кол-во метров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</si>
</sst>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;@"/>
    <numFmt numFmtId="165" formatCode="dd/mm/yy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127">
    <xf numFmtId="0" fontId="0" fillId="0" borderId="0" xfId="0"/>
    <xf numFmtId="14" fontId="0" fillId="2" borderId="1" xfId="0" applyNumberFormat="1" applyFill="1" applyBorder="1"/>
    <xf numFmtId="14" fontId="10" fillId="2" borderId="1" xfId="0" applyNumberFormat="1" applyFont="1" applyFill="1" applyBorder="1"/>
    <xf numFmtId="0" fontId="9" fillId="0" borderId="0" xfId="0" applyFont="1"/>
    <xf numFmtId="2" fontId="0" fillId="0" borderId="0" xfId="0" applyNumberFormat="1"/>
    <xf numFmtId="2" fontId="9" fillId="0" borderId="0" xfId="0" applyNumberFormat="1" applyFont="1"/>
    <xf numFmtId="2" fontId="9" fillId="3" borderId="0" xfId="0" applyNumberFormat="1" applyFont="1" applyFill="1"/>
    <xf numFmtId="0" fontId="0" fillId="0" borderId="0" xfId="0" applyFill="1"/>
    <xf numFmtId="0" fontId="9" fillId="0" borderId="0" xfId="0" applyFont="1" applyFill="1"/>
    <xf numFmtId="2" fontId="0" fillId="0" borderId="0" xfId="0" applyNumberFormat="1" applyFill="1"/>
    <xf numFmtId="2" fontId="9" fillId="0" borderId="0" xfId="0" applyNumberFormat="1" applyFont="1" applyFill="1"/>
    <xf numFmtId="164" fontId="0" fillId="2" borderId="1" xfId="0" applyNumberFormat="1" applyFill="1" applyBorder="1"/>
    <xf numFmtId="0" fontId="10" fillId="0" borderId="0" xfId="0" applyFont="1" applyFill="1" applyBorder="1"/>
    <xf numFmtId="165" fontId="0" fillId="2" borderId="1" xfId="0" applyNumberFormat="1" applyFill="1" applyBorder="1"/>
    <xf numFmtId="2" fontId="10" fillId="0" borderId="0" xfId="0" applyNumberFormat="1" applyFont="1" applyFill="1" applyBorder="1"/>
    <xf numFmtId="2" fontId="0" fillId="0" borderId="0" xfId="0" applyNumberFormat="1" applyFill="1" applyAlignment="1">
      <alignment horizontal="center" vertical="center"/>
    </xf>
    <xf numFmtId="2" fontId="0" fillId="4" borderId="0" xfId="0" applyNumberFormat="1" applyFill="1"/>
    <xf numFmtId="2" fontId="9" fillId="4" borderId="0" xfId="0" applyNumberFormat="1" applyFont="1" applyFill="1"/>
    <xf numFmtId="0" fontId="0" fillId="4" borderId="0" xfId="0" applyFill="1"/>
    <xf numFmtId="2" fontId="0" fillId="4" borderId="0" xfId="0" applyNumberFormat="1" applyFill="1" applyAlignment="1">
      <alignment horizontal="center" vertical="center"/>
    </xf>
    <xf numFmtId="2" fontId="8" fillId="0" borderId="0" xfId="0" applyNumberFormat="1" applyFont="1"/>
    <xf numFmtId="1" fontId="0" fillId="0" borderId="0" xfId="0" applyNumberFormat="1"/>
    <xf numFmtId="166" fontId="8" fillId="0" borderId="0" xfId="0" applyNumberFormat="1" applyFont="1"/>
    <xf numFmtId="1" fontId="8" fillId="0" borderId="0" xfId="0" applyNumberFormat="1" applyFont="1"/>
    <xf numFmtId="1" fontId="9" fillId="0" borderId="0" xfId="0" applyNumberFormat="1" applyFont="1"/>
    <xf numFmtId="0" fontId="8" fillId="0" borderId="0" xfId="0" applyFont="1"/>
    <xf numFmtId="1" fontId="10" fillId="0" borderId="0" xfId="0" applyNumberFormat="1" applyFont="1" applyFill="1" applyBorder="1"/>
    <xf numFmtId="166" fontId="8" fillId="0" borderId="0" xfId="0" applyNumberFormat="1" applyFont="1" applyFill="1"/>
    <xf numFmtId="1" fontId="0" fillId="0" borderId="0" xfId="0" applyNumberFormat="1" applyFill="1"/>
    <xf numFmtId="1" fontId="8" fillId="0" borderId="0" xfId="0" applyNumberFormat="1" applyFont="1" applyFill="1"/>
    <xf numFmtId="2" fontId="8" fillId="0" borderId="0" xfId="0" applyNumberFormat="1" applyFont="1" applyFill="1"/>
    <xf numFmtId="165" fontId="10" fillId="5" borderId="1" xfId="0" applyNumberFormat="1" applyFont="1" applyFill="1" applyBorder="1"/>
    <xf numFmtId="1" fontId="8" fillId="0" borderId="0" xfId="0" applyNumberFormat="1" applyFont="1" applyFill="1" applyAlignment="1">
      <alignment horizontal="center" vertical="center"/>
    </xf>
    <xf numFmtId="1" fontId="0" fillId="0" borderId="0" xfId="0" applyNumberFormat="1" applyFont="1"/>
    <xf numFmtId="1" fontId="0" fillId="4" borderId="0" xfId="0" applyNumberFormat="1" applyFill="1"/>
    <xf numFmtId="1" fontId="9" fillId="0" borderId="0" xfId="0" applyNumberFormat="1" applyFont="1" applyFill="1"/>
    <xf numFmtId="1" fontId="0" fillId="0" borderId="0" xfId="0" applyNumberFormat="1" applyFill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2" fontId="11" fillId="0" borderId="0" xfId="0" applyNumberFormat="1" applyFont="1" applyBorder="1" applyAlignment="1">
      <alignment horizontal="center" vertical="top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Fill="1" applyBorder="1"/>
    <xf numFmtId="2" fontId="7" fillId="0" borderId="0" xfId="0" applyNumberFormat="1" applyFont="1" applyFill="1"/>
    <xf numFmtId="2" fontId="7" fillId="0" borderId="0" xfId="0" applyNumberFormat="1" applyFont="1"/>
    <xf numFmtId="1" fontId="8" fillId="4" borderId="0" xfId="0" applyNumberFormat="1" applyFont="1" applyFill="1"/>
    <xf numFmtId="0" fontId="6" fillId="0" borderId="0" xfId="0" applyFont="1"/>
    <xf numFmtId="2" fontId="6" fillId="0" borderId="0" xfId="0" applyNumberFormat="1" applyFont="1"/>
    <xf numFmtId="2" fontId="6" fillId="3" borderId="0" xfId="0" applyNumberFormat="1" applyFont="1" applyFill="1"/>
    <xf numFmtId="2" fontId="6" fillId="0" borderId="0" xfId="0" applyNumberFormat="1" applyFont="1" applyFill="1"/>
    <xf numFmtId="0" fontId="0" fillId="0" borderId="0" xfId="0" applyFill="1" applyBorder="1"/>
    <xf numFmtId="0" fontId="9" fillId="0" borderId="0" xfId="0" applyFont="1" applyFill="1" applyBorder="1"/>
    <xf numFmtId="165" fontId="10" fillId="0" borderId="0" xfId="0" applyNumberFormat="1" applyFont="1" applyFill="1" applyBorder="1"/>
    <xf numFmtId="2" fontId="9" fillId="0" borderId="0" xfId="0" applyNumberFormat="1" applyFont="1" applyFill="1" applyBorder="1"/>
    <xf numFmtId="2" fontId="0" fillId="0" borderId="0" xfId="0" applyNumberFormat="1" applyFill="1" applyBorder="1"/>
    <xf numFmtId="2" fontId="10" fillId="3" borderId="0" xfId="0" applyNumberFormat="1" applyFont="1" applyFill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14" fontId="0" fillId="0" borderId="0" xfId="0" applyNumberFormat="1" applyFont="1" applyFill="1" applyBorder="1"/>
    <xf numFmtId="2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7" xfId="0" applyBorder="1"/>
    <xf numFmtId="0" fontId="9" fillId="0" borderId="7" xfId="0" applyFont="1" applyBorder="1"/>
    <xf numFmtId="2" fontId="6" fillId="0" borderId="7" xfId="0" applyNumberFormat="1" applyFont="1" applyBorder="1"/>
    <xf numFmtId="2" fontId="6" fillId="3" borderId="7" xfId="0" applyNumberFormat="1" applyFont="1" applyFill="1" applyBorder="1"/>
    <xf numFmtId="2" fontId="6" fillId="0" borderId="7" xfId="0" applyNumberFormat="1" applyFont="1" applyFill="1" applyBorder="1"/>
    <xf numFmtId="0" fontId="6" fillId="0" borderId="7" xfId="0" applyFont="1" applyBorder="1"/>
    <xf numFmtId="2" fontId="6" fillId="0" borderId="7" xfId="0" applyNumberFormat="1" applyFont="1" applyFill="1" applyBorder="1" applyAlignment="1">
      <alignment horizontal="center" vertical="center"/>
    </xf>
    <xf numFmtId="0" fontId="0" fillId="0" borderId="7" xfId="0" applyFill="1" applyBorder="1"/>
    <xf numFmtId="0" fontId="9" fillId="0" borderId="7" xfId="0" applyFont="1" applyFill="1" applyBorder="1"/>
    <xf numFmtId="165" fontId="10" fillId="0" borderId="7" xfId="0" applyNumberFormat="1" applyFont="1" applyFill="1" applyBorder="1"/>
    <xf numFmtId="14" fontId="0" fillId="0" borderId="7" xfId="0" applyNumberFormat="1" applyFont="1" applyFill="1" applyBorder="1"/>
    <xf numFmtId="0" fontId="0" fillId="0" borderId="7" xfId="0" applyFont="1" applyFill="1" applyBorder="1"/>
    <xf numFmtId="2" fontId="6" fillId="0" borderId="0" xfId="0" applyNumberFormat="1" applyFont="1" applyFill="1" applyBorder="1"/>
    <xf numFmtId="2" fontId="6" fillId="6" borderId="0" xfId="0" applyNumberFormat="1" applyFont="1" applyFill="1"/>
    <xf numFmtId="2" fontId="10" fillId="0" borderId="7" xfId="0" applyNumberFormat="1" applyFont="1" applyFill="1" applyBorder="1"/>
    <xf numFmtId="2" fontId="0" fillId="0" borderId="7" xfId="0" applyNumberFormat="1" applyFont="1" applyBorder="1"/>
    <xf numFmtId="0" fontId="10" fillId="0" borderId="7" xfId="0" applyFont="1" applyFill="1" applyBorder="1"/>
    <xf numFmtId="2" fontId="0" fillId="0" borderId="7" xfId="0" applyNumberFormat="1" applyFont="1" applyFill="1" applyBorder="1"/>
    <xf numFmtId="2" fontId="6" fillId="4" borderId="7" xfId="0" applyNumberFormat="1" applyFont="1" applyFill="1" applyBorder="1"/>
    <xf numFmtId="2" fontId="6" fillId="6" borderId="7" xfId="0" applyNumberFormat="1" applyFont="1" applyFill="1" applyBorder="1"/>
    <xf numFmtId="0" fontId="9" fillId="0" borderId="0" xfId="0" applyFont="1" applyBorder="1"/>
    <xf numFmtId="0" fontId="6" fillId="0" borderId="0" xfId="0" applyFont="1" applyBorder="1"/>
    <xf numFmtId="0" fontId="5" fillId="0" borderId="0" xfId="0" applyFont="1"/>
    <xf numFmtId="0" fontId="5" fillId="0" borderId="7" xfId="0" applyFont="1" applyBorder="1"/>
    <xf numFmtId="2" fontId="5" fillId="3" borderId="0" xfId="0" applyNumberFormat="1" applyFont="1" applyFill="1"/>
    <xf numFmtId="2" fontId="5" fillId="3" borderId="7" xfId="0" applyNumberFormat="1" applyFont="1" applyFill="1" applyBorder="1"/>
    <xf numFmtId="2" fontId="5" fillId="0" borderId="0" xfId="0" applyNumberFormat="1" applyFont="1" applyFill="1"/>
    <xf numFmtId="2" fontId="5" fillId="0" borderId="7" xfId="0" applyNumberFormat="1" applyFont="1" applyBorder="1"/>
    <xf numFmtId="2" fontId="5" fillId="0" borderId="0" xfId="0" applyNumberFormat="1" applyFont="1"/>
    <xf numFmtId="2" fontId="5" fillId="0" borderId="7" xfId="0" applyNumberFormat="1" applyFont="1" applyFill="1" applyBorder="1"/>
    <xf numFmtId="0" fontId="5" fillId="0" borderId="0" xfId="0" applyFont="1" applyFill="1"/>
    <xf numFmtId="2" fontId="5" fillId="4" borderId="0" xfId="0" applyNumberFormat="1" applyFont="1" applyFill="1"/>
    <xf numFmtId="14" fontId="10" fillId="2" borderId="1" xfId="1" applyNumberFormat="1" applyFont="1" applyFill="1" applyBorder="1"/>
    <xf numFmtId="14" fontId="0" fillId="2" borderId="1" xfId="0" applyNumberFormat="1" applyFont="1" applyFill="1" applyBorder="1"/>
    <xf numFmtId="2" fontId="4" fillId="0" borderId="0" xfId="0" applyNumberFormat="1" applyFont="1"/>
    <xf numFmtId="2" fontId="4" fillId="0" borderId="0" xfId="0" applyNumberFormat="1" applyFont="1" applyFill="1"/>
    <xf numFmtId="1" fontId="9" fillId="0" borderId="0" xfId="0" applyNumberFormat="1" applyFont="1" applyFill="1" applyBorder="1"/>
    <xf numFmtId="0" fontId="9" fillId="0" borderId="0" xfId="0" applyNumberFormat="1" applyFont="1" applyFill="1" applyBorder="1"/>
    <xf numFmtId="0" fontId="3" fillId="0" borderId="0" xfId="0" applyFont="1"/>
    <xf numFmtId="2" fontId="3" fillId="0" borderId="0" xfId="0" applyNumberFormat="1" applyFont="1"/>
    <xf numFmtId="14" fontId="0" fillId="2" borderId="2" xfId="0" applyNumberFormat="1" applyFill="1" applyBorder="1"/>
    <xf numFmtId="0" fontId="0" fillId="0" borderId="0" xfId="0" applyAlignment="1">
      <alignment horizontal="center"/>
    </xf>
    <xf numFmtId="2" fontId="2" fillId="0" borderId="0" xfId="0" applyNumberFormat="1" applyFont="1" applyFill="1"/>
    <xf numFmtId="2" fontId="1" fillId="3" borderId="7" xfId="0" applyNumberFormat="1" applyFont="1" applyFill="1" applyBorder="1"/>
    <xf numFmtId="0" fontId="0" fillId="3" borderId="0" xfId="0" applyFill="1"/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Ураков'!$A$37:$A$53</c:f>
              <c:numCache>
                <c:formatCode>General</c:formatCode>
                <c:ptCount val="17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1995</c:v>
                </c:pt>
                <c:pt idx="4">
                  <c:v>2000</c:v>
                </c:pt>
                <c:pt idx="5">
                  <c:v>2001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2009</c:v>
                </c:pt>
                <c:pt idx="11">
                  <c:v>2013</c:v>
                </c:pt>
                <c:pt idx="12">
                  <c:v>2014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</c:numCache>
            </c:numRef>
          </c:xVal>
          <c:yVal>
            <c:numRef>
              <c:f>'Нижний Ураков'!$F$37:$F$53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6.210000000000008</c:v>
                </c:pt>
                <c:pt idx="2">
                  <c:v>10.790000000000006</c:v>
                </c:pt>
                <c:pt idx="3">
                  <c:v>11.210000000000008</c:v>
                </c:pt>
                <c:pt idx="4">
                  <c:v>16.340000000000003</c:v>
                </c:pt>
                <c:pt idx="5">
                  <c:v>17.490000000000009</c:v>
                </c:pt>
                <c:pt idx="6">
                  <c:v>21.620000000000005</c:v>
                </c:pt>
                <c:pt idx="7">
                  <c:v>23.63000000000001</c:v>
                </c:pt>
                <c:pt idx="8">
                  <c:v>23.780000000000008</c:v>
                </c:pt>
                <c:pt idx="9">
                  <c:v>24.430000000000007</c:v>
                </c:pt>
                <c:pt idx="10">
                  <c:v>27.120000000000005</c:v>
                </c:pt>
                <c:pt idx="11">
                  <c:v>27.550000000000011</c:v>
                </c:pt>
                <c:pt idx="12">
                  <c:v>27.870000000000005</c:v>
                </c:pt>
                <c:pt idx="13">
                  <c:v>28.20000000000001</c:v>
                </c:pt>
                <c:pt idx="14">
                  <c:v>32.810000000000009</c:v>
                </c:pt>
                <c:pt idx="15">
                  <c:v>34.560000000000009</c:v>
                </c:pt>
                <c:pt idx="16">
                  <c:v>35.77000000000001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94240"/>
        <c:axId val="151196032"/>
      </c:scatterChart>
      <c:valAx>
        <c:axId val="15119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196032"/>
        <c:crosses val="autoZero"/>
        <c:crossBetween val="midCat"/>
      </c:valAx>
      <c:valAx>
        <c:axId val="15119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94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Ураков'!$G$37:$G$54</c:f>
              <c:numCache>
                <c:formatCode>0</c:formatCode>
                <c:ptCount val="18"/>
                <c:pt idx="0" formatCode="General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1995</c:v>
                </c:pt>
                <c:pt idx="4">
                  <c:v>1999</c:v>
                </c:pt>
                <c:pt idx="5">
                  <c:v>2000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2016</c:v>
                </c:pt>
                <c:pt idx="16">
                  <c:v>2019</c:v>
                </c:pt>
                <c:pt idx="17">
                  <c:v>2020</c:v>
                </c:pt>
              </c:numCache>
            </c:numRef>
          </c:xVal>
          <c:yVal>
            <c:numRef>
              <c:f>'Нижний Ураков'!$L$37:$L$54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0.30000000000000071</c:v>
                </c:pt>
                <c:pt idx="2">
                  <c:v>0.30000000000000071</c:v>
                </c:pt>
                <c:pt idx="3">
                  <c:v>0.32000000000000028</c:v>
                </c:pt>
                <c:pt idx="4">
                  <c:v>1.6900000000000048</c:v>
                </c:pt>
                <c:pt idx="5">
                  <c:v>3.5</c:v>
                </c:pt>
                <c:pt idx="6">
                  <c:v>6.1200000000000045</c:v>
                </c:pt>
                <c:pt idx="7">
                  <c:v>7.2000000000000028</c:v>
                </c:pt>
                <c:pt idx="8">
                  <c:v>8.3300000000000036</c:v>
                </c:pt>
                <c:pt idx="9">
                  <c:v>8.4400000000000031</c:v>
                </c:pt>
                <c:pt idx="10">
                  <c:v>10.470000000000002</c:v>
                </c:pt>
                <c:pt idx="11">
                  <c:v>10.560000000000004</c:v>
                </c:pt>
                <c:pt idx="12">
                  <c:v>10.560000000000004</c:v>
                </c:pt>
                <c:pt idx="13">
                  <c:v>11.410000000000004</c:v>
                </c:pt>
                <c:pt idx="14">
                  <c:v>12.960000000000003</c:v>
                </c:pt>
                <c:pt idx="15">
                  <c:v>14.640000000000002</c:v>
                </c:pt>
                <c:pt idx="16">
                  <c:v>19.850000000000001</c:v>
                </c:pt>
                <c:pt idx="17">
                  <c:v>20.190000000000001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33664"/>
        <c:axId val="151235200"/>
      </c:scatterChart>
      <c:valAx>
        <c:axId val="1512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35200"/>
        <c:crosses val="autoZero"/>
        <c:crossBetween val="midCat"/>
      </c:valAx>
      <c:valAx>
        <c:axId val="151235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233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Ураков'!$M$37:$M$53</c:f>
              <c:numCache>
                <c:formatCode>General</c:formatCode>
                <c:ptCount val="17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2005</c:v>
                </c:pt>
                <c:pt idx="7">
                  <c:v>2006</c:v>
                </c:pt>
                <c:pt idx="8">
                  <c:v>2009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2014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</c:numCache>
            </c:numRef>
          </c:xVal>
          <c:yVal>
            <c:numRef>
              <c:f>'Нижний Ураков'!$R$37:$R$53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0.40999999999999659</c:v>
                </c:pt>
                <c:pt idx="2">
                  <c:v>0.48999999999999488</c:v>
                </c:pt>
                <c:pt idx="3">
                  <c:v>2.2199999999999953</c:v>
                </c:pt>
                <c:pt idx="4">
                  <c:v>2.7499999999999929</c:v>
                </c:pt>
                <c:pt idx="5">
                  <c:v>3.9799999999999933</c:v>
                </c:pt>
                <c:pt idx="6">
                  <c:v>5.0899999999999892</c:v>
                </c:pt>
                <c:pt idx="7">
                  <c:v>5.149999999999995</c:v>
                </c:pt>
                <c:pt idx="8">
                  <c:v>6.5399999999999956</c:v>
                </c:pt>
                <c:pt idx="9">
                  <c:v>6.6799999999999926</c:v>
                </c:pt>
                <c:pt idx="10">
                  <c:v>6.6799999999999926</c:v>
                </c:pt>
                <c:pt idx="11">
                  <c:v>6.9299999999999926</c:v>
                </c:pt>
                <c:pt idx="12">
                  <c:v>7.5799999999999947</c:v>
                </c:pt>
                <c:pt idx="13">
                  <c:v>7.5599999999999952</c:v>
                </c:pt>
                <c:pt idx="14">
                  <c:v>11.169999999999995</c:v>
                </c:pt>
                <c:pt idx="15">
                  <c:v>11.279999999999994</c:v>
                </c:pt>
                <c:pt idx="16">
                  <c:v>11.719999999999994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8256"/>
        <c:axId val="151258240"/>
      </c:scatterChart>
      <c:valAx>
        <c:axId val="15124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58240"/>
        <c:crosses val="autoZero"/>
        <c:crossBetween val="midCat"/>
      </c:valAx>
      <c:valAx>
        <c:axId val="15125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248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Ураков'!$S$37:$S$54</c:f>
              <c:numCache>
                <c:formatCode>General</c:formatCode>
                <c:ptCount val="18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2016</c:v>
                </c:pt>
                <c:pt idx="15">
                  <c:v>2019</c:v>
                </c:pt>
                <c:pt idx="16">
                  <c:v>2020</c:v>
                </c:pt>
                <c:pt idx="17">
                  <c:v>2022</c:v>
                </c:pt>
              </c:numCache>
            </c:numRef>
          </c:xVal>
          <c:yVal>
            <c:numRef>
              <c:f>'Нижний Ураков'!$X$37:$X$54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5.3299999999999983</c:v>
                </c:pt>
                <c:pt idx="2">
                  <c:v>5.3400000000000034</c:v>
                </c:pt>
                <c:pt idx="3">
                  <c:v>12.810000000000002</c:v>
                </c:pt>
                <c:pt idx="4">
                  <c:v>17.68</c:v>
                </c:pt>
                <c:pt idx="5">
                  <c:v>18.43</c:v>
                </c:pt>
                <c:pt idx="6">
                  <c:v>19.87</c:v>
                </c:pt>
                <c:pt idx="7">
                  <c:v>21.39</c:v>
                </c:pt>
                <c:pt idx="8">
                  <c:v>22.53</c:v>
                </c:pt>
                <c:pt idx="9">
                  <c:v>23.330000000000002</c:v>
                </c:pt>
                <c:pt idx="10">
                  <c:v>23.460000000000004</c:v>
                </c:pt>
                <c:pt idx="11">
                  <c:v>24.040000000000003</c:v>
                </c:pt>
                <c:pt idx="12">
                  <c:v>24.910000000000004</c:v>
                </c:pt>
                <c:pt idx="13">
                  <c:v>25.080000000000002</c:v>
                </c:pt>
                <c:pt idx="14">
                  <c:v>26.620000000000005</c:v>
                </c:pt>
                <c:pt idx="15">
                  <c:v>30.85</c:v>
                </c:pt>
                <c:pt idx="16">
                  <c:v>32</c:v>
                </c:pt>
                <c:pt idx="17">
                  <c:v>33.92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7680"/>
        <c:axId val="151289216"/>
      </c:scatterChart>
      <c:valAx>
        <c:axId val="15128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289216"/>
        <c:crosses val="autoZero"/>
        <c:crossBetween val="midCat"/>
      </c:valAx>
      <c:valAx>
        <c:axId val="15128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287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1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002405949256337E-2"/>
          <c:y val="0.1292016622922135"/>
          <c:w val="0.88260605603213338"/>
          <c:h val="0.7405825313502478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Ураков'!$F$4:$F$27</c:f>
              <c:numCache>
                <c:formatCode>0.00</c:formatCode>
                <c:ptCount val="24"/>
                <c:pt idx="1">
                  <c:v>4.7341115434457589E-3</c:v>
                </c:pt>
                <c:pt idx="2">
                  <c:v>1.6318574514038897</c:v>
                </c:pt>
                <c:pt idx="3">
                  <c:v>2.1295541401273876</c:v>
                </c:pt>
                <c:pt idx="4">
                  <c:v>1.8250000000000075</c:v>
                </c:pt>
                <c:pt idx="6">
                  <c:v>1.082341040462427</c:v>
                </c:pt>
                <c:pt idx="7">
                  <c:v>1.1253351206434372</c:v>
                </c:pt>
                <c:pt idx="8">
                  <c:v>2.039851150202975</c:v>
                </c:pt>
                <c:pt idx="9">
                  <c:v>2.026611570247939</c:v>
                </c:pt>
                <c:pt idx="10">
                  <c:v>0.15041208791208649</c:v>
                </c:pt>
                <c:pt idx="12">
                  <c:v>0.54540229885057356</c:v>
                </c:pt>
                <c:pt idx="14">
                  <c:v>0.89503190519598841</c:v>
                </c:pt>
                <c:pt idx="18">
                  <c:v>0.23637048192771459</c:v>
                </c:pt>
                <c:pt idx="19">
                  <c:v>0.31912806539508859</c:v>
                </c:pt>
                <c:pt idx="20">
                  <c:v>0.17635431918009076</c:v>
                </c:pt>
                <c:pt idx="21">
                  <c:v>1.4320425531914893</c:v>
                </c:pt>
                <c:pt idx="22">
                  <c:v>1.596875</c:v>
                </c:pt>
                <c:pt idx="23">
                  <c:v>0.64651094890510952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458176"/>
        <c:axId val="151459712"/>
      </c:barChart>
      <c:catAx>
        <c:axId val="15145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459712"/>
        <c:crosses val="autoZero"/>
        <c:auto val="1"/>
        <c:lblAlgn val="ctr"/>
        <c:lblOffset val="100"/>
        <c:noMultiLvlLbl val="0"/>
      </c:catAx>
      <c:valAx>
        <c:axId val="15145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45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265284730782449"/>
          <c:y val="0.93398790850352154"/>
          <c:w val="0.18030774907130218"/>
          <c:h val="6.361623002929382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141309259419492E-2"/>
          <c:y val="0.14803011101184912"/>
          <c:w val="0.84734831223020179"/>
          <c:h val="0.76383742269683308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'Нижний Ураков'!$Z$3:$Z$35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'Нижний Ураков'!$AA$3:$AA$35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3520"/>
        <c:axId val="151485056"/>
      </c:scatterChart>
      <c:valAx>
        <c:axId val="15148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485056"/>
        <c:crosses val="autoZero"/>
        <c:crossBetween val="midCat"/>
      </c:valAx>
      <c:valAx>
        <c:axId val="1514850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1483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687609075043632"/>
          <c:y val="0.15779878669105785"/>
          <c:w val="0.28346713205351948"/>
          <c:h val="6.278787653437321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885917641937275E-2"/>
          <c:y val="0.13297524045747658"/>
          <c:w val="0.90953225049767328"/>
          <c:h val="0.7453476076881607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Ураков'!$K$4:$K$27</c:f>
              <c:numCache>
                <c:formatCode>0.00</c:formatCode>
                <c:ptCount val="24"/>
                <c:pt idx="1">
                  <c:v>8.0000000000001847E-2</c:v>
                </c:pt>
                <c:pt idx="2">
                  <c:v>0.40999999999999659</c:v>
                </c:pt>
                <c:pt idx="4">
                  <c:v>7.9999999999998295E-2</c:v>
                </c:pt>
                <c:pt idx="5">
                  <c:v>1.7300000000000004</c:v>
                </c:pt>
                <c:pt idx="6">
                  <c:v>0.52999999999999758</c:v>
                </c:pt>
                <c:pt idx="8">
                  <c:v>1.2300000000000004</c:v>
                </c:pt>
                <c:pt idx="10">
                  <c:v>1.1099999999999959</c:v>
                </c:pt>
                <c:pt idx="12">
                  <c:v>6.0000000000005826E-2</c:v>
                </c:pt>
                <c:pt idx="13">
                  <c:v>1.3900000000000006</c:v>
                </c:pt>
                <c:pt idx="14">
                  <c:v>0.13999999999999702</c:v>
                </c:pt>
                <c:pt idx="16" formatCode="General">
                  <c:v>7.840095465393937E-2</c:v>
                </c:pt>
                <c:pt idx="17">
                  <c:v>0</c:v>
                </c:pt>
                <c:pt idx="18">
                  <c:v>1.1533457249070627</c:v>
                </c:pt>
                <c:pt idx="19">
                  <c:v>1.5415531335149855</c:v>
                </c:pt>
                <c:pt idx="20">
                  <c:v>0.90026354319180069</c:v>
                </c:pt>
                <c:pt idx="21">
                  <c:v>1.6184255319148939</c:v>
                </c:pt>
                <c:pt idx="22">
                  <c:v>0.31024999999999986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31520"/>
        <c:axId val="151533056"/>
      </c:barChart>
      <c:catAx>
        <c:axId val="15153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533056"/>
        <c:crosses val="autoZero"/>
        <c:auto val="1"/>
        <c:lblAlgn val="ctr"/>
        <c:lblOffset val="100"/>
        <c:noMultiLvlLbl val="0"/>
      </c:catAx>
      <c:valAx>
        <c:axId val="15153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53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032852777460794"/>
          <c:y val="0.93161972433866969"/>
          <c:w val="0.18002017690372435"/>
          <c:h val="6.642023197754727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416514921280771E-2"/>
          <c:y val="0.14761475916427877"/>
          <c:w val="0.9211794697911565"/>
          <c:h val="0.71731240017016218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Ураков'!$P$4:$P$27</c:f>
              <c:numCache>
                <c:formatCode>0.00</c:formatCode>
                <c:ptCount val="24"/>
                <c:pt idx="1">
                  <c:v>3.787289234760139E-2</c:v>
                </c:pt>
                <c:pt idx="2">
                  <c:v>0.10773938084953114</c:v>
                </c:pt>
                <c:pt idx="4">
                  <c:v>3.3601841196777192E-2</c:v>
                </c:pt>
                <c:pt idx="5">
                  <c:v>0.46293988269794734</c:v>
                </c:pt>
                <c:pt idx="6">
                  <c:v>0.52855191256830358</c:v>
                </c:pt>
                <c:pt idx="8">
                  <c:v>0.40373201438848932</c:v>
                </c:pt>
                <c:pt idx="10">
                  <c:v>0.55729023383768705</c:v>
                </c:pt>
                <c:pt idx="12">
                  <c:v>5.0344827586211782E-2</c:v>
                </c:pt>
                <c:pt idx="13">
                  <c:v>0.49594330400782033</c:v>
                </c:pt>
                <c:pt idx="14">
                  <c:v>0.69054054054052583</c:v>
                </c:pt>
                <c:pt idx="16">
                  <c:v>0</c:v>
                </c:pt>
                <c:pt idx="18">
                  <c:v>0.13742469879518071</c:v>
                </c:pt>
                <c:pt idx="19">
                  <c:v>0.64645776566757707</c:v>
                </c:pt>
                <c:pt idx="21">
                  <c:v>0.7091765339074273</c:v>
                </c:pt>
                <c:pt idx="22">
                  <c:v>0.10037499999999948</c:v>
                </c:pt>
                <c:pt idx="23">
                  <c:v>0.2350948905109489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49440"/>
        <c:axId val="151550976"/>
      </c:barChart>
      <c:catAx>
        <c:axId val="1515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550976"/>
        <c:crosses val="autoZero"/>
        <c:auto val="1"/>
        <c:lblAlgn val="ctr"/>
        <c:lblOffset val="100"/>
        <c:noMultiLvlLbl val="0"/>
      </c:catAx>
      <c:valAx>
        <c:axId val="15155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5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50941240000502"/>
          <c:y val="0.92613065568638786"/>
          <c:w val="0.18002017690372435"/>
          <c:h val="6.849586360777153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4650760628165627E-2"/>
          <c:y val="0.12032548701860817"/>
          <c:w val="0.90382306726709327"/>
          <c:h val="0.7631340937264108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Ураков'!$U$4:$U$27</c:f>
              <c:numCache>
                <c:formatCode>0.00</c:formatCode>
                <c:ptCount val="24"/>
                <c:pt idx="0" formatCode="General">
                  <c:v>0</c:v>
                </c:pt>
                <c:pt idx="2">
                  <c:v>2.478280254777069</c:v>
                </c:pt>
                <c:pt idx="3">
                  <c:v>4.3452380952403183E-2</c:v>
                </c:pt>
                <c:pt idx="6">
                  <c:v>1.2965049928673322</c:v>
                </c:pt>
                <c:pt idx="7">
                  <c:v>2.4053450608930973</c:v>
                </c:pt>
                <c:pt idx="8">
                  <c:v>0.75619834710743805</c:v>
                </c:pt>
                <c:pt idx="9">
                  <c:v>1.4439560439560453</c:v>
                </c:pt>
                <c:pt idx="10">
                  <c:v>1.5117166212534057</c:v>
                </c:pt>
                <c:pt idx="12">
                  <c:v>0.38139321723189751</c:v>
                </c:pt>
                <c:pt idx="13">
                  <c:v>3.9459459459459496</c:v>
                </c:pt>
                <c:pt idx="16">
                  <c:v>0.11324582338902371</c:v>
                </c:pt>
                <c:pt idx="17">
                  <c:v>0.53741772151898581</c:v>
                </c:pt>
                <c:pt idx="18">
                  <c:v>1.180483271375466</c:v>
                </c:pt>
                <c:pt idx="19">
                  <c:v>0.169073569482287</c:v>
                </c:pt>
                <c:pt idx="20">
                  <c:v>0.82524158125915226</c:v>
                </c:pt>
                <c:pt idx="21">
                  <c:v>1.3139999999999996</c:v>
                </c:pt>
                <c:pt idx="22">
                  <c:v>1.0493750000000004</c:v>
                </c:pt>
                <c:pt idx="23">
                  <c:v>1.0258686131386863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75552"/>
        <c:axId val="151577344"/>
      </c:barChart>
      <c:catAx>
        <c:axId val="15157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577344"/>
        <c:crosses val="autoZero"/>
        <c:auto val="1"/>
        <c:lblAlgn val="ctr"/>
        <c:lblOffset val="100"/>
        <c:noMultiLvlLbl val="0"/>
      </c:catAx>
      <c:valAx>
        <c:axId val="15157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5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672354918845844"/>
          <c:y val="0.93450674866169436"/>
          <c:w val="0.18323482291986229"/>
          <c:h val="5.9827654838669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Балыклей'!$A$36:$A$54</c:f>
              <c:numCache>
                <c:formatCode>General</c:formatCode>
                <c:ptCount val="19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2005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2015</c:v>
                </c:pt>
                <c:pt idx="18">
                  <c:v>2016</c:v>
                </c:pt>
              </c:numCache>
            </c:numRef>
          </c:xVal>
          <c:yVal>
            <c:numRef>
              <c:f>'Нижний Балыклей'!$F$36:$F$54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8.4000000000000341</c:v>
                </c:pt>
                <c:pt idx="2">
                  <c:v>36.200000000000017</c:v>
                </c:pt>
                <c:pt idx="3">
                  <c:v>62</c:v>
                </c:pt>
                <c:pt idx="4">
                  <c:v>85</c:v>
                </c:pt>
                <c:pt idx="5">
                  <c:v>109.58000000000001</c:v>
                </c:pt>
                <c:pt idx="6">
                  <c:v>130.9</c:v>
                </c:pt>
                <c:pt idx="7">
                  <c:v>152.60000000000002</c:v>
                </c:pt>
                <c:pt idx="8">
                  <c:v>172.63000000000002</c:v>
                </c:pt>
                <c:pt idx="9">
                  <c:v>180.31000000000003</c:v>
                </c:pt>
                <c:pt idx="10">
                  <c:v>183.61</c:v>
                </c:pt>
                <c:pt idx="11">
                  <c:v>194.28000000000003</c:v>
                </c:pt>
                <c:pt idx="12">
                  <c:v>203.44000000000003</c:v>
                </c:pt>
                <c:pt idx="13">
                  <c:v>205.73000000000002</c:v>
                </c:pt>
                <c:pt idx="14">
                  <c:v>206.91000000000003</c:v>
                </c:pt>
                <c:pt idx="15">
                  <c:v>207.59000000000003</c:v>
                </c:pt>
                <c:pt idx="16">
                  <c:v>208.96000000000004</c:v>
                </c:pt>
                <c:pt idx="17">
                  <c:v>211.19000000000003</c:v>
                </c:pt>
                <c:pt idx="18">
                  <c:v>213.37000000000003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16992"/>
        <c:axId val="151718528"/>
      </c:scatterChart>
      <c:valAx>
        <c:axId val="15171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718528"/>
        <c:crosses val="autoZero"/>
        <c:crossBetween val="midCat"/>
      </c:valAx>
      <c:valAx>
        <c:axId val="15171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169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Балыклей'!$G$36:$G$56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2005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2013</c:v>
                </c:pt>
                <c:pt idx="17">
                  <c:v>2016</c:v>
                </c:pt>
                <c:pt idx="18">
                  <c:v>2021</c:v>
                </c:pt>
                <c:pt idx="19">
                  <c:v>2022</c:v>
                </c:pt>
                <c:pt idx="20">
                  <c:v>2024</c:v>
                </c:pt>
              </c:numCache>
            </c:numRef>
          </c:xVal>
          <c:yVal>
            <c:numRef>
              <c:f>'Нижний Балыклей'!$L$36:$L$56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8.0999999999999659</c:v>
                </c:pt>
                <c:pt idx="2">
                  <c:v>33.399999999999977</c:v>
                </c:pt>
                <c:pt idx="3">
                  <c:v>59.799999999999983</c:v>
                </c:pt>
                <c:pt idx="4">
                  <c:v>78.399999999999977</c:v>
                </c:pt>
                <c:pt idx="5">
                  <c:v>107.89999999999998</c:v>
                </c:pt>
                <c:pt idx="6">
                  <c:v>130.35</c:v>
                </c:pt>
                <c:pt idx="7">
                  <c:v>151.37</c:v>
                </c:pt>
                <c:pt idx="8">
                  <c:v>167.79</c:v>
                </c:pt>
                <c:pt idx="9">
                  <c:v>181.7</c:v>
                </c:pt>
                <c:pt idx="10">
                  <c:v>186.52999999999997</c:v>
                </c:pt>
                <c:pt idx="11">
                  <c:v>204.39999999999998</c:v>
                </c:pt>
                <c:pt idx="12">
                  <c:v>209.90999999999997</c:v>
                </c:pt>
                <c:pt idx="13">
                  <c:v>221.12999999999997</c:v>
                </c:pt>
                <c:pt idx="14">
                  <c:v>222.16999999999996</c:v>
                </c:pt>
                <c:pt idx="15">
                  <c:v>222.44999999999996</c:v>
                </c:pt>
                <c:pt idx="16">
                  <c:v>225.96999999999997</c:v>
                </c:pt>
                <c:pt idx="17">
                  <c:v>229.82999999999998</c:v>
                </c:pt>
                <c:pt idx="18">
                  <c:v>243.49999999999997</c:v>
                </c:pt>
                <c:pt idx="19">
                  <c:v>246.53999999999996</c:v>
                </c:pt>
                <c:pt idx="20">
                  <c:v>248.78999999999996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40800"/>
        <c:axId val="151742336"/>
      </c:scatterChart>
      <c:valAx>
        <c:axId val="15174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742336"/>
        <c:crosses val="autoZero"/>
        <c:crossBetween val="midCat"/>
      </c:valAx>
      <c:valAx>
        <c:axId val="1517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40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54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Балыклей'!$N$36:$N$57</c:f>
              <c:numCache>
                <c:formatCode>General</c:formatCode>
                <c:ptCount val="22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2009</c:v>
                </c:pt>
                <c:pt idx="15">
                  <c:v>2011</c:v>
                </c:pt>
                <c:pt idx="16">
                  <c:v>2013</c:v>
                </c:pt>
                <c:pt idx="17">
                  <c:v>2015</c:v>
                </c:pt>
                <c:pt idx="18">
                  <c:v>2016</c:v>
                </c:pt>
                <c:pt idx="19">
                  <c:v>2021</c:v>
                </c:pt>
                <c:pt idx="20">
                  <c:v>2022</c:v>
                </c:pt>
                <c:pt idx="21">
                  <c:v>2024</c:v>
                </c:pt>
              </c:numCache>
            </c:numRef>
          </c:xVal>
          <c:yVal>
            <c:numRef>
              <c:f>'Нижний Балыклей'!$S$36:$S$57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12.400000000000034</c:v>
                </c:pt>
                <c:pt idx="2">
                  <c:v>36.700000000000045</c:v>
                </c:pt>
                <c:pt idx="3">
                  <c:v>60.800000000000011</c:v>
                </c:pt>
                <c:pt idx="4">
                  <c:v>79.900000000000034</c:v>
                </c:pt>
                <c:pt idx="5">
                  <c:v>101.33000000000004</c:v>
                </c:pt>
                <c:pt idx="6">
                  <c:v>125.70000000000002</c:v>
                </c:pt>
                <c:pt idx="7">
                  <c:v>148.77000000000004</c:v>
                </c:pt>
                <c:pt idx="8">
                  <c:v>166.50000000000003</c:v>
                </c:pt>
                <c:pt idx="9">
                  <c:v>178.87000000000003</c:v>
                </c:pt>
                <c:pt idx="10">
                  <c:v>184.01000000000002</c:v>
                </c:pt>
                <c:pt idx="11">
                  <c:v>187.46000000000004</c:v>
                </c:pt>
                <c:pt idx="12">
                  <c:v>203.90000000000003</c:v>
                </c:pt>
                <c:pt idx="13">
                  <c:v>206.06000000000003</c:v>
                </c:pt>
                <c:pt idx="14">
                  <c:v>213.70000000000002</c:v>
                </c:pt>
                <c:pt idx="15">
                  <c:v>214.36</c:v>
                </c:pt>
                <c:pt idx="16">
                  <c:v>219.04000000000002</c:v>
                </c:pt>
                <c:pt idx="17">
                  <c:v>224.61</c:v>
                </c:pt>
                <c:pt idx="18">
                  <c:v>227.06000000000003</c:v>
                </c:pt>
                <c:pt idx="19">
                  <c:v>241.32000000000002</c:v>
                </c:pt>
                <c:pt idx="20">
                  <c:v>243.36</c:v>
                </c:pt>
                <c:pt idx="21">
                  <c:v>248.12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55392"/>
        <c:axId val="151773568"/>
      </c:scatterChart>
      <c:valAx>
        <c:axId val="15175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773568"/>
        <c:crosses val="autoZero"/>
        <c:crossBetween val="midCat"/>
      </c:valAx>
      <c:valAx>
        <c:axId val="15177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55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368447061346458E-2"/>
          <c:y val="0.11898608923884514"/>
          <c:w val="0.92135364074162129"/>
          <c:h val="0.78040472440944886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Балыклей'!$F$4:$F$28</c:f>
              <c:numCache>
                <c:formatCode>0.00</c:formatCode>
                <c:ptCount val="25"/>
                <c:pt idx="1">
                  <c:v>4.072052980132467</c:v>
                </c:pt>
                <c:pt idx="2">
                  <c:v>5.8349626221966613</c:v>
                </c:pt>
                <c:pt idx="3">
                  <c:v>5.1912899669239216</c:v>
                </c:pt>
                <c:pt idx="4">
                  <c:v>5.7382091592617908</c:v>
                </c:pt>
                <c:pt idx="5">
                  <c:v>3.8928083080917371</c:v>
                </c:pt>
                <c:pt idx="6">
                  <c:v>3.5745521359669259</c:v>
                </c:pt>
                <c:pt idx="7">
                  <c:v>4.3806949806949813</c:v>
                </c:pt>
                <c:pt idx="8">
                  <c:v>5.3364598540145991</c:v>
                </c:pt>
                <c:pt idx="9">
                  <c:v>1.9399307958477525</c:v>
                </c:pt>
                <c:pt idx="12">
                  <c:v>4.2864768683273979</c:v>
                </c:pt>
                <c:pt idx="14">
                  <c:v>3.5599177330895801</c:v>
                </c:pt>
                <c:pt idx="15">
                  <c:v>3.2842829076620839</c:v>
                </c:pt>
                <c:pt idx="16">
                  <c:v>2.2590540540540567</c:v>
                </c:pt>
                <c:pt idx="17">
                  <c:v>1.0303827751196168</c:v>
                </c:pt>
                <c:pt idx="18">
                  <c:v>0.65841269841269812</c:v>
                </c:pt>
                <c:pt idx="19">
                  <c:v>1.7243103448275874</c:v>
                </c:pt>
                <c:pt idx="20">
                  <c:v>1.1119535519125667</c:v>
                </c:pt>
                <c:pt idx="21">
                  <c:v>2.5169716088328071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780736"/>
        <c:axId val="151876736"/>
      </c:barChart>
      <c:catAx>
        <c:axId val="15178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876736"/>
        <c:crosses val="autoZero"/>
        <c:auto val="1"/>
        <c:lblAlgn val="ctr"/>
        <c:lblOffset val="100"/>
        <c:noMultiLvlLbl val="0"/>
      </c:catAx>
      <c:valAx>
        <c:axId val="15187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7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451867806044681"/>
          <c:y val="0.27408057742782149"/>
          <c:w val="0.20048428227111043"/>
          <c:h val="6.027637795275590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79772783876468E-2"/>
          <c:y val="0.12345275254915386"/>
          <c:w val="0.86493706534858328"/>
          <c:h val="0.79111961388458152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'Нижний Балыклей'!$V$4:$V$36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'Нижний Балыклей'!$W$4:$W$36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93120"/>
        <c:axId val="151894656"/>
      </c:scatterChart>
      <c:valAx>
        <c:axId val="15189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894656"/>
        <c:crosses val="autoZero"/>
        <c:crossBetween val="midCat"/>
      </c:valAx>
      <c:valAx>
        <c:axId val="151894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1893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019464720194649"/>
          <c:y val="0.13685777768827495"/>
          <c:w val="0.29639902676399027"/>
          <c:h val="6.166381376241013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900243618560249E-2"/>
          <c:y val="0.13483243600861128"/>
          <c:w val="0.92541747362369653"/>
          <c:h val="0.7718653435195990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Балыклей'!$K$4:$K$28</c:f>
              <c:numCache>
                <c:formatCode>0.00</c:formatCode>
                <c:ptCount val="25"/>
                <c:pt idx="1">
                  <c:v>3.9266225165562751</c:v>
                </c:pt>
                <c:pt idx="2">
                  <c:v>5.3102357676825784</c:v>
                </c:pt>
                <c:pt idx="3">
                  <c:v>5.3120176405733197</c:v>
                </c:pt>
                <c:pt idx="4">
                  <c:v>4.6404647983595337</c:v>
                </c:pt>
                <c:pt idx="5">
                  <c:v>4.6720034617048896</c:v>
                </c:pt>
                <c:pt idx="6">
                  <c:v>3.7640101056499797</c:v>
                </c:pt>
                <c:pt idx="7">
                  <c:v>4.2434197462768886</c:v>
                </c:pt>
                <c:pt idx="8">
                  <c:v>4.3746715328467118</c:v>
                </c:pt>
                <c:pt idx="9">
                  <c:v>3.5135986159169579</c:v>
                </c:pt>
                <c:pt idx="10">
                  <c:v>4.764905660377357</c:v>
                </c:pt>
                <c:pt idx="12">
                  <c:v>3.3936264308012469</c:v>
                </c:pt>
                <c:pt idx="14">
                  <c:v>5.633473389355748</c:v>
                </c:pt>
                <c:pt idx="15">
                  <c:v>4.0228880157170916</c:v>
                </c:pt>
                <c:pt idx="16">
                  <c:v>1.0259459459459521</c:v>
                </c:pt>
                <c:pt idx="17">
                  <c:v>0.24516746411483253</c:v>
                </c:pt>
                <c:pt idx="19">
                  <c:v>4.4303448275862065</c:v>
                </c:pt>
                <c:pt idx="21">
                  <c:v>1.3467683508102954</c:v>
                </c:pt>
                <c:pt idx="22">
                  <c:v>2.6696361690743715</c:v>
                </c:pt>
                <c:pt idx="23">
                  <c:v>2.406941431670282</c:v>
                </c:pt>
                <c:pt idx="24">
                  <c:v>1.2807153965785381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939712"/>
        <c:axId val="151941504"/>
      </c:barChart>
      <c:catAx>
        <c:axId val="15193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41504"/>
        <c:crosses val="autoZero"/>
        <c:auto val="1"/>
        <c:lblAlgn val="ctr"/>
        <c:lblOffset val="100"/>
        <c:noMultiLvlLbl val="0"/>
      </c:catAx>
      <c:valAx>
        <c:axId val="151941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746949973296417"/>
          <c:y val="0.17892550312387101"/>
          <c:w val="0.20048424488529393"/>
          <c:h val="5.88062073346886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900243618560249E-2"/>
          <c:y val="0.13483243600861128"/>
          <c:w val="0.92541747362369653"/>
          <c:h val="0.7718653435195990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Балыклей'!$P$4:$P$28</c:f>
              <c:numCache>
                <c:formatCode>0.00</c:formatCode>
                <c:ptCount val="25"/>
                <c:pt idx="1">
                  <c:v>6.0111258278145856</c:v>
                </c:pt>
                <c:pt idx="2">
                  <c:v>5.1003450258769432</c:v>
                </c:pt>
                <c:pt idx="3">
                  <c:v>4.8492282249173027</c:v>
                </c:pt>
                <c:pt idx="4">
                  <c:v>4.7652084757347968</c:v>
                </c:pt>
                <c:pt idx="5">
                  <c:v>3.3939333621808752</c:v>
                </c:pt>
                <c:pt idx="6">
                  <c:v>4.0859209921910846</c:v>
                </c:pt>
                <c:pt idx="7">
                  <c:v>4.6572642029784932</c:v>
                </c:pt>
                <c:pt idx="8">
                  <c:v>4.7236861313868586</c:v>
                </c:pt>
                <c:pt idx="9">
                  <c:v>3.1246020761245688</c:v>
                </c:pt>
                <c:pt idx="10">
                  <c:v>5.0707277628032212</c:v>
                </c:pt>
                <c:pt idx="11">
                  <c:v>3.4500000000000166</c:v>
                </c:pt>
                <c:pt idx="12">
                  <c:v>3.8539499036608862</c:v>
                </c:pt>
                <c:pt idx="13">
                  <c:v>2.8056939501779312</c:v>
                </c:pt>
                <c:pt idx="15">
                  <c:v>2.5489945155393006</c:v>
                </c:pt>
                <c:pt idx="17">
                  <c:v>0.57631578947368123</c:v>
                </c:pt>
                <c:pt idx="19">
                  <c:v>2.557185628742511</c:v>
                </c:pt>
                <c:pt idx="20">
                  <c:v>2.7773907103825102</c:v>
                </c:pt>
                <c:pt idx="21">
                  <c:v>2.8287066246056978</c:v>
                </c:pt>
                <c:pt idx="22">
                  <c:v>2.784858212948099</c:v>
                </c:pt>
                <c:pt idx="23">
                  <c:v>1.6151843817787419</c:v>
                </c:pt>
                <c:pt idx="24">
                  <c:v>2.7094245723172627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966080"/>
        <c:axId val="151967616"/>
      </c:barChart>
      <c:catAx>
        <c:axId val="15196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67616"/>
        <c:crosses val="autoZero"/>
        <c:auto val="1"/>
        <c:lblAlgn val="ctr"/>
        <c:lblOffset val="100"/>
        <c:noMultiLvlLbl val="0"/>
      </c:catAx>
      <c:valAx>
        <c:axId val="151967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6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8388296967726"/>
          <c:y val="0.28949458050199595"/>
          <c:w val="0.20048424488529393"/>
          <c:h val="5.88062073346886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60</c:v>
          </c:tx>
          <c:trendline>
            <c:trendlineType val="poly"/>
            <c:order val="3"/>
            <c:forward val="20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Бережновка!$A$35:$A$54</c:f>
              <c:numCache>
                <c:formatCode>General</c:formatCode>
                <c:ptCount val="20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2006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2021</c:v>
                </c:pt>
                <c:pt idx="19">
                  <c:v>2023</c:v>
                </c:pt>
              </c:numCache>
            </c:numRef>
          </c:xVal>
          <c:yVal>
            <c:numRef>
              <c:f>Бережновка!$F$35:$F$54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19.180000000000007</c:v>
                </c:pt>
                <c:pt idx="2">
                  <c:v>50.639999999999986</c:v>
                </c:pt>
                <c:pt idx="3">
                  <c:v>67.230000000000018</c:v>
                </c:pt>
                <c:pt idx="4">
                  <c:v>76.5</c:v>
                </c:pt>
                <c:pt idx="5">
                  <c:v>86.65</c:v>
                </c:pt>
                <c:pt idx="6">
                  <c:v>100.9</c:v>
                </c:pt>
                <c:pt idx="7">
                  <c:v>119.02000000000001</c:v>
                </c:pt>
                <c:pt idx="8">
                  <c:v>120.98000000000002</c:v>
                </c:pt>
                <c:pt idx="9">
                  <c:v>144</c:v>
                </c:pt>
                <c:pt idx="10">
                  <c:v>148.94999999999999</c:v>
                </c:pt>
                <c:pt idx="11">
                  <c:v>167.23</c:v>
                </c:pt>
                <c:pt idx="12">
                  <c:v>171.12</c:v>
                </c:pt>
                <c:pt idx="13">
                  <c:v>184.05</c:v>
                </c:pt>
                <c:pt idx="14">
                  <c:v>185.02</c:v>
                </c:pt>
                <c:pt idx="15">
                  <c:v>187.05</c:v>
                </c:pt>
                <c:pt idx="16">
                  <c:v>196.34</c:v>
                </c:pt>
                <c:pt idx="17">
                  <c:v>203.74</c:v>
                </c:pt>
                <c:pt idx="18">
                  <c:v>220.54000000000002</c:v>
                </c:pt>
                <c:pt idx="19">
                  <c:v>244.27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71168"/>
        <c:axId val="152081152"/>
      </c:scatterChart>
      <c:valAx>
        <c:axId val="15207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081152"/>
        <c:crosses val="autoZero"/>
        <c:crossBetween val="midCat"/>
      </c:valAx>
      <c:valAx>
        <c:axId val="152081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071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61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Бережновка!$H$35:$H$56</c:f>
              <c:numCache>
                <c:formatCode>General</c:formatCode>
                <c:ptCount val="22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2016</c:v>
                </c:pt>
                <c:pt idx="19">
                  <c:v>2019</c:v>
                </c:pt>
                <c:pt idx="20">
                  <c:v>2021</c:v>
                </c:pt>
                <c:pt idx="21">
                  <c:v>2023</c:v>
                </c:pt>
              </c:numCache>
            </c:numRef>
          </c:xVal>
          <c:yVal>
            <c:numRef>
              <c:f>Бережновка!$M$35:$M$56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20.939999999999998</c:v>
                </c:pt>
                <c:pt idx="2">
                  <c:v>44.870000000000005</c:v>
                </c:pt>
                <c:pt idx="3">
                  <c:v>65.300000000000011</c:v>
                </c:pt>
                <c:pt idx="4">
                  <c:v>78.740000000000038</c:v>
                </c:pt>
                <c:pt idx="5">
                  <c:v>88.990000000000038</c:v>
                </c:pt>
                <c:pt idx="6">
                  <c:v>104.15</c:v>
                </c:pt>
                <c:pt idx="7">
                  <c:v>124.07000000000002</c:v>
                </c:pt>
                <c:pt idx="8">
                  <c:v>124.70000000000002</c:v>
                </c:pt>
                <c:pt idx="9">
                  <c:v>161.26</c:v>
                </c:pt>
                <c:pt idx="10">
                  <c:v>167.82</c:v>
                </c:pt>
                <c:pt idx="11">
                  <c:v>200.26999999999998</c:v>
                </c:pt>
                <c:pt idx="12">
                  <c:v>204.32999999999998</c:v>
                </c:pt>
                <c:pt idx="13">
                  <c:v>220.32</c:v>
                </c:pt>
                <c:pt idx="14">
                  <c:v>222.60999999999999</c:v>
                </c:pt>
                <c:pt idx="15">
                  <c:v>223.5</c:v>
                </c:pt>
                <c:pt idx="16">
                  <c:v>224.62</c:v>
                </c:pt>
                <c:pt idx="17">
                  <c:v>225.83</c:v>
                </c:pt>
                <c:pt idx="18">
                  <c:v>233.98000000000002</c:v>
                </c:pt>
                <c:pt idx="19">
                  <c:v>237.57000000000002</c:v>
                </c:pt>
                <c:pt idx="20">
                  <c:v>244.84000000000003</c:v>
                </c:pt>
                <c:pt idx="21">
                  <c:v>246.49000000000004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03168"/>
        <c:axId val="152113152"/>
      </c:scatterChart>
      <c:valAx>
        <c:axId val="15210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113152"/>
        <c:crosses val="autoZero"/>
        <c:crossBetween val="midCat"/>
      </c:valAx>
      <c:valAx>
        <c:axId val="15211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03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62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Бережновка!$O$35:$O$54</c:f>
              <c:numCache>
                <c:formatCode>General</c:formatCode>
                <c:ptCount val="20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2005</c:v>
                </c:pt>
                <c:pt idx="11">
                  <c:v>2006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2021</c:v>
                </c:pt>
                <c:pt idx="19">
                  <c:v>2023</c:v>
                </c:pt>
              </c:numCache>
            </c:numRef>
          </c:xVal>
          <c:yVal>
            <c:numRef>
              <c:f>Бережновка!$T$35:$T$54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25.100000000000023</c:v>
                </c:pt>
                <c:pt idx="2">
                  <c:v>62.25</c:v>
                </c:pt>
                <c:pt idx="3">
                  <c:v>85.590000000000032</c:v>
                </c:pt>
                <c:pt idx="4">
                  <c:v>102.19586559480672</c:v>
                </c:pt>
                <c:pt idx="5">
                  <c:v>114.85000000000002</c:v>
                </c:pt>
                <c:pt idx="6">
                  <c:v>136.87413473171421</c:v>
                </c:pt>
                <c:pt idx="7">
                  <c:v>158.53769328841179</c:v>
                </c:pt>
                <c:pt idx="8">
                  <c:v>180.23776877986515</c:v>
                </c:pt>
                <c:pt idx="9">
                  <c:v>212.09000000000003</c:v>
                </c:pt>
                <c:pt idx="10">
                  <c:v>248.38433527823742</c:v>
                </c:pt>
                <c:pt idx="11">
                  <c:v>253.03981568639836</c:v>
                </c:pt>
                <c:pt idx="12">
                  <c:v>284.19981568639838</c:v>
                </c:pt>
                <c:pt idx="13">
                  <c:v>284.83981568639837</c:v>
                </c:pt>
                <c:pt idx="14">
                  <c:v>285.57981568639838</c:v>
                </c:pt>
                <c:pt idx="15">
                  <c:v>291.62981568639839</c:v>
                </c:pt>
                <c:pt idx="16">
                  <c:v>303.67981568639834</c:v>
                </c:pt>
                <c:pt idx="17">
                  <c:v>307.02981568639836</c:v>
                </c:pt>
                <c:pt idx="18">
                  <c:v>308.50981568639838</c:v>
                </c:pt>
                <c:pt idx="19">
                  <c:v>309.93981568639839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25440"/>
        <c:axId val="152126976"/>
      </c:scatterChart>
      <c:valAx>
        <c:axId val="1521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126976"/>
        <c:crosses val="autoZero"/>
        <c:crossBetween val="midCat"/>
      </c:valAx>
      <c:valAx>
        <c:axId val="15212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25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Бережновка!$F$5:$F$28</c:f>
              <c:numCache>
                <c:formatCode>0.00</c:formatCode>
                <c:ptCount val="24"/>
                <c:pt idx="1">
                  <c:v>9.3225498007968159</c:v>
                </c:pt>
                <c:pt idx="2">
                  <c:v>6.591791044776115</c:v>
                </c:pt>
                <c:pt idx="3">
                  <c:v>3.3399613899613962</c:v>
                </c:pt>
                <c:pt idx="4">
                  <c:v>2.3238667582417536</c:v>
                </c:pt>
                <c:pt idx="5">
                  <c:v>1.5950622584800351</c:v>
                </c:pt>
                <c:pt idx="6">
                  <c:v>2.4091014358499305</c:v>
                </c:pt>
                <c:pt idx="7">
                  <c:v>3.6379537953795391</c:v>
                </c:pt>
                <c:pt idx="8">
                  <c:v>0.65095541401274148</c:v>
                </c:pt>
                <c:pt idx="9">
                  <c:v>4.0163957934990435</c:v>
                </c:pt>
                <c:pt idx="10">
                  <c:v>4.9230245231607661</c:v>
                </c:pt>
                <c:pt idx="11">
                  <c:v>4.545095367847412</c:v>
                </c:pt>
                <c:pt idx="14">
                  <c:v>4.0567142857142864</c:v>
                </c:pt>
                <c:pt idx="16">
                  <c:v>3.3972577171572165</c:v>
                </c:pt>
                <c:pt idx="18">
                  <c:v>0.89201005025125524</c:v>
                </c:pt>
                <c:pt idx="19">
                  <c:v>2.7855263157894652</c:v>
                </c:pt>
                <c:pt idx="20">
                  <c:v>3.2351474785918173</c:v>
                </c:pt>
                <c:pt idx="21">
                  <c:v>2.296768707482995</c:v>
                </c:pt>
                <c:pt idx="22">
                  <c:v>8.8484848484848477</c:v>
                </c:pt>
                <c:pt idx="23">
                  <c:v>5.732263401720715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85088"/>
        <c:axId val="152190976"/>
      </c:barChart>
      <c:catAx>
        <c:axId val="1521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190976"/>
        <c:crosses val="autoZero"/>
        <c:auto val="1"/>
        <c:lblAlgn val="ctr"/>
        <c:lblOffset val="100"/>
        <c:noMultiLvlLbl val="0"/>
      </c:catAx>
      <c:valAx>
        <c:axId val="15219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Бережновка!$K$5:$K$28</c:f>
              <c:numCache>
                <c:formatCode>0.00</c:formatCode>
                <c:ptCount val="24"/>
                <c:pt idx="1">
                  <c:v>10.178007968127488</c:v>
                </c:pt>
                <c:pt idx="2">
                  <c:v>5.014035591274399</c:v>
                </c:pt>
                <c:pt idx="3">
                  <c:v>4.113044677330393</c:v>
                </c:pt>
                <c:pt idx="4">
                  <c:v>3.3692307692307759</c:v>
                </c:pt>
                <c:pt idx="5">
                  <c:v>1.6107771575783598</c:v>
                </c:pt>
                <c:pt idx="6">
                  <c:v>2.5629458082445526</c:v>
                </c:pt>
                <c:pt idx="7">
                  <c:v>3.9993399339934026</c:v>
                </c:pt>
                <c:pt idx="8">
                  <c:v>0.2092356687898074</c:v>
                </c:pt>
                <c:pt idx="9">
                  <c:v>6.3787762906309728</c:v>
                </c:pt>
                <c:pt idx="10">
                  <c:v>6.524250681198926</c:v>
                </c:pt>
                <c:pt idx="12">
                  <c:v>7.6266902768834495</c:v>
                </c:pt>
                <c:pt idx="14">
                  <c:v>4.2340000000000027</c:v>
                </c:pt>
                <c:pt idx="15">
                  <c:v>5.6995605468749986</c:v>
                </c:pt>
                <c:pt idx="16">
                  <c:v>2.271382113821141</c:v>
                </c:pt>
                <c:pt idx="17">
                  <c:v>0</c:v>
                </c:pt>
                <c:pt idx="18">
                  <c:v>1.0299497487437195</c:v>
                </c:pt>
                <c:pt idx="19">
                  <c:v>1.6603383458646579</c:v>
                </c:pt>
                <c:pt idx="20">
                  <c:v>2.8381541389153195</c:v>
                </c:pt>
                <c:pt idx="21">
                  <c:v>1.1142431972789115</c:v>
                </c:pt>
                <c:pt idx="22">
                  <c:v>3.8290764790764844</c:v>
                </c:pt>
                <c:pt idx="23">
                  <c:v>0.73624694376528121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15552"/>
        <c:axId val="152217088"/>
      </c:barChart>
      <c:catAx>
        <c:axId val="15221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217088"/>
        <c:crosses val="autoZero"/>
        <c:auto val="1"/>
        <c:lblAlgn val="ctr"/>
        <c:lblOffset val="100"/>
        <c:noMultiLvlLbl val="0"/>
      </c:catAx>
      <c:valAx>
        <c:axId val="15221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2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Бережновка!$P$5:$P$28</c:f>
              <c:numCache>
                <c:formatCode>0.00</c:formatCode>
                <c:ptCount val="24"/>
                <c:pt idx="1">
                  <c:v>12.20000000000001</c:v>
                </c:pt>
                <c:pt idx="2">
                  <c:v>7.7840126291618779</c:v>
                </c:pt>
                <c:pt idx="3">
                  <c:v>4.6988968560397195</c:v>
                </c:pt>
                <c:pt idx="4">
                  <c:v>4.1628715261706324</c:v>
                </c:pt>
                <c:pt idx="5">
                  <c:v>1.9885844535426145</c:v>
                </c:pt>
                <c:pt idx="6">
                  <c:v>3.7233947091596469</c:v>
                </c:pt>
                <c:pt idx="7">
                  <c:v>4.3493943196890079</c:v>
                </c:pt>
                <c:pt idx="8">
                  <c:v>7.2070314416564853</c:v>
                </c:pt>
                <c:pt idx="9">
                  <c:v>5.5573921583887342</c:v>
                </c:pt>
                <c:pt idx="12">
                  <c:v>6.8997043627899188</c:v>
                </c:pt>
                <c:pt idx="14">
                  <c:v>4.8550009970821231</c:v>
                </c:pt>
                <c:pt idx="16">
                  <c:v>8.187049533381197</c:v>
                </c:pt>
                <c:pt idx="17">
                  <c:v>0.56019184652276988</c:v>
                </c:pt>
                <c:pt idx="18">
                  <c:v>0.68050251256282246</c:v>
                </c:pt>
                <c:pt idx="20">
                  <c:v>4.1962892483349137</c:v>
                </c:pt>
                <c:pt idx="21">
                  <c:v>1.0397534013605469</c:v>
                </c:pt>
                <c:pt idx="22">
                  <c:v>0.77950937950938159</c:v>
                </c:pt>
                <c:pt idx="23">
                  <c:v>0.63808068459657696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307200"/>
        <c:axId val="152308736"/>
      </c:barChart>
      <c:catAx>
        <c:axId val="15230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308736"/>
        <c:crosses val="autoZero"/>
        <c:auto val="1"/>
        <c:lblAlgn val="ctr"/>
        <c:lblOffset val="100"/>
        <c:noMultiLvlLbl val="0"/>
      </c:catAx>
      <c:valAx>
        <c:axId val="15230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3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7416914418391556E-2"/>
          <c:y val="0.12975813507182571"/>
          <c:w val="0.87598445266047942"/>
          <c:h val="0.78045099201309509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Бережновка!$W$6:$W$38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Бережновка!$X$6:$X$38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6640"/>
        <c:axId val="152342528"/>
      </c:scatterChart>
      <c:valAx>
        <c:axId val="15233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342528"/>
        <c:crosses val="autoZero"/>
        <c:crossBetween val="midCat"/>
      </c:valAx>
      <c:valAx>
        <c:axId val="1523425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23366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3378846683656161E-2"/>
          <c:y val="0.13623119690683827"/>
          <c:w val="0.27623577834274676"/>
          <c:h val="6.481330962661925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Бурты!$A$36:$A$58</c:f>
              <c:numCache>
                <c:formatCode>General</c:formatCode>
                <c:ptCount val="23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2023</c:v>
                </c:pt>
              </c:numCache>
            </c:numRef>
          </c:xVal>
          <c:yVal>
            <c:numRef>
              <c:f>Бурты!$F$36:$F$58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0.68999999999999773</c:v>
                </c:pt>
                <c:pt idx="2">
                  <c:v>8.4700000000000131</c:v>
                </c:pt>
                <c:pt idx="3">
                  <c:v>12.730000000000004</c:v>
                </c:pt>
                <c:pt idx="4">
                  <c:v>13.450000000000003</c:v>
                </c:pt>
                <c:pt idx="5">
                  <c:v>16.470000000000013</c:v>
                </c:pt>
                <c:pt idx="6">
                  <c:v>17.450000000000003</c:v>
                </c:pt>
                <c:pt idx="7">
                  <c:v>17.680000000000007</c:v>
                </c:pt>
                <c:pt idx="8">
                  <c:v>19.580000000000005</c:v>
                </c:pt>
                <c:pt idx="9">
                  <c:v>22.190000000000005</c:v>
                </c:pt>
                <c:pt idx="10">
                  <c:v>23.250000000000007</c:v>
                </c:pt>
                <c:pt idx="11">
                  <c:v>23.310000000000009</c:v>
                </c:pt>
                <c:pt idx="12">
                  <c:v>24.010000000000012</c:v>
                </c:pt>
                <c:pt idx="13">
                  <c:v>24.210000000000008</c:v>
                </c:pt>
                <c:pt idx="14">
                  <c:v>24.780000000000008</c:v>
                </c:pt>
                <c:pt idx="15">
                  <c:v>27.660000000000011</c:v>
                </c:pt>
                <c:pt idx="16">
                  <c:v>28.060000000000009</c:v>
                </c:pt>
                <c:pt idx="17">
                  <c:v>28.390000000000008</c:v>
                </c:pt>
                <c:pt idx="18">
                  <c:v>29.950000000000006</c:v>
                </c:pt>
                <c:pt idx="19">
                  <c:v>31.040000000000003</c:v>
                </c:pt>
                <c:pt idx="20">
                  <c:v>32.050000000000011</c:v>
                </c:pt>
                <c:pt idx="21">
                  <c:v>33.740000000000009</c:v>
                </c:pt>
                <c:pt idx="22">
                  <c:v>34.420000000000009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0368"/>
        <c:axId val="150891904"/>
      </c:scatterChart>
      <c:valAx>
        <c:axId val="15089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891904"/>
        <c:crosses val="autoZero"/>
        <c:crossBetween val="midCat"/>
      </c:valAx>
      <c:valAx>
        <c:axId val="1508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890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Бурты!$G$36:$G$58</c:f>
              <c:numCache>
                <c:formatCode>0</c:formatCode>
                <c:ptCount val="23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2023</c:v>
                </c:pt>
              </c:numCache>
            </c:numRef>
          </c:xVal>
          <c:yVal>
            <c:numRef>
              <c:f>Бурты!$L$36:$L$58</c:f>
              <c:numCache>
                <c:formatCode>General</c:formatCode>
                <c:ptCount val="23"/>
                <c:pt idx="0">
                  <c:v>0</c:v>
                </c:pt>
                <c:pt idx="1">
                  <c:v>2.4499999999999886</c:v>
                </c:pt>
                <c:pt idx="2">
                  <c:v>9.1999999999999886</c:v>
                </c:pt>
                <c:pt idx="3">
                  <c:v>13.569999999999993</c:v>
                </c:pt>
                <c:pt idx="4">
                  <c:v>17.449999999999996</c:v>
                </c:pt>
                <c:pt idx="5">
                  <c:v>20.099999999999994</c:v>
                </c:pt>
                <c:pt idx="6">
                  <c:v>21.919999999999987</c:v>
                </c:pt>
                <c:pt idx="7">
                  <c:v>22.469999999999992</c:v>
                </c:pt>
                <c:pt idx="8">
                  <c:v>25.069999999999993</c:v>
                </c:pt>
                <c:pt idx="9">
                  <c:v>28.789999999999992</c:v>
                </c:pt>
                <c:pt idx="10">
                  <c:v>29.859999999999992</c:v>
                </c:pt>
                <c:pt idx="11">
                  <c:v>30.179999999999993</c:v>
                </c:pt>
                <c:pt idx="12">
                  <c:v>30.259999999999991</c:v>
                </c:pt>
                <c:pt idx="13">
                  <c:v>30.259999999999991</c:v>
                </c:pt>
                <c:pt idx="14">
                  <c:v>31.139999999999993</c:v>
                </c:pt>
                <c:pt idx="15">
                  <c:v>33.61999999999999</c:v>
                </c:pt>
                <c:pt idx="16">
                  <c:v>34.059999999999988</c:v>
                </c:pt>
                <c:pt idx="17">
                  <c:v>34.849999999999994</c:v>
                </c:pt>
                <c:pt idx="18">
                  <c:v>37.069999999999993</c:v>
                </c:pt>
                <c:pt idx="19">
                  <c:v>38.099999999999994</c:v>
                </c:pt>
                <c:pt idx="20">
                  <c:v>39.359999999999992</c:v>
                </c:pt>
                <c:pt idx="21">
                  <c:v>40.339999999999989</c:v>
                </c:pt>
                <c:pt idx="22">
                  <c:v>41.359999999999992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42080"/>
        <c:axId val="150943616"/>
      </c:scatterChart>
      <c:valAx>
        <c:axId val="15094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943616"/>
        <c:crosses val="autoZero"/>
        <c:crossBetween val="midCat"/>
      </c:valAx>
      <c:valAx>
        <c:axId val="150943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42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Бурты!$M$36:$M$56</c:f>
              <c:numCache>
                <c:formatCode>General</c:formatCode>
                <c:ptCount val="21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2017</c:v>
                </c:pt>
                <c:pt idx="18">
                  <c:v>2019</c:v>
                </c:pt>
                <c:pt idx="19">
                  <c:v>2022</c:v>
                </c:pt>
                <c:pt idx="20">
                  <c:v>2023</c:v>
                </c:pt>
              </c:numCache>
            </c:numRef>
          </c:xVal>
          <c:yVal>
            <c:numRef>
              <c:f>Бурты!$Q$36:$Q$56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3.4599999999999937</c:v>
                </c:pt>
                <c:pt idx="2">
                  <c:v>12.829999999999998</c:v>
                </c:pt>
                <c:pt idx="3">
                  <c:v>18.43</c:v>
                </c:pt>
                <c:pt idx="4">
                  <c:v>20.049999999999997</c:v>
                </c:pt>
                <c:pt idx="5">
                  <c:v>22.800000000000004</c:v>
                </c:pt>
                <c:pt idx="6">
                  <c:v>24.92</c:v>
                </c:pt>
                <c:pt idx="7">
                  <c:v>25.28</c:v>
                </c:pt>
                <c:pt idx="8">
                  <c:v>26.830000000000005</c:v>
                </c:pt>
                <c:pt idx="9">
                  <c:v>29.630000000000003</c:v>
                </c:pt>
                <c:pt idx="10">
                  <c:v>30.200000000000003</c:v>
                </c:pt>
                <c:pt idx="11">
                  <c:v>31.480000000000004</c:v>
                </c:pt>
                <c:pt idx="12">
                  <c:v>31.5</c:v>
                </c:pt>
                <c:pt idx="13">
                  <c:v>32.17</c:v>
                </c:pt>
                <c:pt idx="14">
                  <c:v>32.200000000000003</c:v>
                </c:pt>
                <c:pt idx="15">
                  <c:v>32.440000000000005</c:v>
                </c:pt>
                <c:pt idx="16">
                  <c:v>32.510000000000005</c:v>
                </c:pt>
                <c:pt idx="17">
                  <c:v>32.660000000000004</c:v>
                </c:pt>
                <c:pt idx="18">
                  <c:v>32.900000000000006</c:v>
                </c:pt>
                <c:pt idx="19">
                  <c:v>32.940000000000005</c:v>
                </c:pt>
                <c:pt idx="20">
                  <c:v>33.260000000000005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77152"/>
        <c:axId val="150991232"/>
      </c:scatterChart>
      <c:valAx>
        <c:axId val="1509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991232"/>
        <c:crosses val="autoZero"/>
        <c:crossBetween val="midCat"/>
      </c:valAx>
      <c:valAx>
        <c:axId val="15099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77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Бурты!$F$4:$F$28</c:f>
              <c:numCache>
                <c:formatCode>0.00</c:formatCode>
                <c:ptCount val="25"/>
                <c:pt idx="1">
                  <c:v>0.23692380056443949</c:v>
                </c:pt>
                <c:pt idx="2">
                  <c:v>1.51208732694356</c:v>
                </c:pt>
                <c:pt idx="3">
                  <c:v>0.85527153044432069</c:v>
                </c:pt>
                <c:pt idx="4">
                  <c:v>0.72999999999999887</c:v>
                </c:pt>
                <c:pt idx="5">
                  <c:v>1.4956580732700187</c:v>
                </c:pt>
                <c:pt idx="6">
                  <c:v>0.96675675675674677</c:v>
                </c:pt>
                <c:pt idx="7">
                  <c:v>0.23190607734807031</c:v>
                </c:pt>
                <c:pt idx="9">
                  <c:v>1.5725623582766426</c:v>
                </c:pt>
                <c:pt idx="10">
                  <c:v>1.2215601023017899</c:v>
                </c:pt>
                <c:pt idx="12">
                  <c:v>1.2361022364217278</c:v>
                </c:pt>
                <c:pt idx="13">
                  <c:v>7.4489795918370169E-2</c:v>
                </c:pt>
                <c:pt idx="14">
                  <c:v>0.71769662921348598</c:v>
                </c:pt>
                <c:pt idx="15">
                  <c:v>0.16636363636363283</c:v>
                </c:pt>
                <c:pt idx="16">
                  <c:v>0.71741379310344866</c:v>
                </c:pt>
                <c:pt idx="17">
                  <c:v>2.9038674033149197</c:v>
                </c:pt>
                <c:pt idx="18">
                  <c:v>0.39459459459459323</c:v>
                </c:pt>
                <c:pt idx="19">
                  <c:v>0.2642888402625807</c:v>
                </c:pt>
                <c:pt idx="20">
                  <c:v>2.2776000000000001</c:v>
                </c:pt>
                <c:pt idx="21">
                  <c:v>0.47363095238095076</c:v>
                </c:pt>
                <c:pt idx="22">
                  <c:v>1.1735238095238156</c:v>
                </c:pt>
                <c:pt idx="23">
                  <c:v>0.86152234636871516</c:v>
                </c:pt>
                <c:pt idx="24">
                  <c:v>0.66010638297872348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98400"/>
        <c:axId val="151008384"/>
      </c:barChart>
      <c:catAx>
        <c:axId val="15099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008384"/>
        <c:crosses val="autoZero"/>
        <c:auto val="1"/>
        <c:lblAlgn val="ctr"/>
        <c:lblOffset val="100"/>
        <c:noMultiLvlLbl val="0"/>
      </c:catAx>
      <c:valAx>
        <c:axId val="151008384"/>
        <c:scaling>
          <c:orientation val="minMax"/>
          <c:max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9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44343320721273E-2"/>
          <c:y val="0.12357579751870224"/>
          <c:w val="0.88162150185772237"/>
          <c:h val="0.80285106432180564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Бурты!$S$4:$S$36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Бурты!$T$4:$T$36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32960"/>
        <c:axId val="151034496"/>
      </c:scatterChart>
      <c:valAx>
        <c:axId val="15103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034496"/>
        <c:crosses val="autoZero"/>
        <c:crossBetween val="midCat"/>
      </c:valAx>
      <c:valAx>
        <c:axId val="1510344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10329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07792207792208"/>
          <c:y val="0.14888711598274881"/>
          <c:w val="0.26367965367965368"/>
          <c:h val="5.310694092753824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Бурты!$K$4:$K$28</c:f>
              <c:numCache>
                <c:formatCode>0.00</c:formatCode>
                <c:ptCount val="25"/>
                <c:pt idx="1">
                  <c:v>0.84125117591721155</c:v>
                </c:pt>
                <c:pt idx="2">
                  <c:v>1.3119009584664536</c:v>
                </c:pt>
                <c:pt idx="3">
                  <c:v>0.87735600658255719</c:v>
                </c:pt>
                <c:pt idx="4">
                  <c:v>3.9338888888888914</c:v>
                </c:pt>
                <c:pt idx="5">
                  <c:v>1.3124151967435542</c:v>
                </c:pt>
                <c:pt idx="6">
                  <c:v>1.7954054054053985</c:v>
                </c:pt>
                <c:pt idx="7">
                  <c:v>0.55455801104972813</c:v>
                </c:pt>
                <c:pt idx="9">
                  <c:v>2.1519274376417248</c:v>
                </c:pt>
                <c:pt idx="10">
                  <c:v>1.7410741687979534</c:v>
                </c:pt>
                <c:pt idx="12">
                  <c:v>1.2477635782747607</c:v>
                </c:pt>
                <c:pt idx="13">
                  <c:v>0.39727891156462619</c:v>
                </c:pt>
                <c:pt idx="14">
                  <c:v>8.2022471910110611E-2</c:v>
                </c:pt>
                <c:pt idx="15">
                  <c:v>0</c:v>
                </c:pt>
                <c:pt idx="16">
                  <c:v>1.107586206896555</c:v>
                </c:pt>
                <c:pt idx="17">
                  <c:v>2.5005524861878423</c:v>
                </c:pt>
                <c:pt idx="18">
                  <c:v>0.43405405405405179</c:v>
                </c:pt>
                <c:pt idx="19">
                  <c:v>0.63269146608315596</c:v>
                </c:pt>
                <c:pt idx="20">
                  <c:v>3.2411999999999983</c:v>
                </c:pt>
                <c:pt idx="21">
                  <c:v>0.4475595238095243</c:v>
                </c:pt>
                <c:pt idx="22">
                  <c:v>1.4639999999999977</c:v>
                </c:pt>
                <c:pt idx="23">
                  <c:v>0.49958100558659219</c:v>
                </c:pt>
                <c:pt idx="24">
                  <c:v>0.99015957446808511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054976"/>
        <c:axId val="152633728"/>
      </c:barChart>
      <c:catAx>
        <c:axId val="15105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633728"/>
        <c:crosses val="autoZero"/>
        <c:auto val="1"/>
        <c:lblAlgn val="ctr"/>
        <c:lblOffset val="100"/>
        <c:noMultiLvlLbl val="0"/>
      </c:catAx>
      <c:valAx>
        <c:axId val="15263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05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Бурты!$P$4:$P$28</c:f>
              <c:numCache>
                <c:formatCode>0.00</c:formatCode>
                <c:ptCount val="25"/>
                <c:pt idx="1">
                  <c:v>1.1880526810912491</c:v>
                </c:pt>
                <c:pt idx="2">
                  <c:v>1.8211128860489891</c:v>
                </c:pt>
                <c:pt idx="3">
                  <c:v>1.1243006034009875</c:v>
                </c:pt>
                <c:pt idx="4">
                  <c:v>1.6424999999999974</c:v>
                </c:pt>
                <c:pt idx="5">
                  <c:v>1.3619402985074662</c:v>
                </c:pt>
                <c:pt idx="6">
                  <c:v>2.0913513513513489</c:v>
                </c:pt>
                <c:pt idx="7">
                  <c:v>0.36298342541436412</c:v>
                </c:pt>
                <c:pt idx="9">
                  <c:v>1.2828798185941079</c:v>
                </c:pt>
                <c:pt idx="10">
                  <c:v>1.310485933503835</c:v>
                </c:pt>
                <c:pt idx="12">
                  <c:v>0.66469648562300354</c:v>
                </c:pt>
                <c:pt idx="13">
                  <c:v>1.5891156462585048</c:v>
                </c:pt>
                <c:pt idx="14">
                  <c:v>2.050561797752401E-2</c:v>
                </c:pt>
                <c:pt idx="15">
                  <c:v>0.55731818181818327</c:v>
                </c:pt>
                <c:pt idx="16">
                  <c:v>3.7758620689656602E-2</c:v>
                </c:pt>
                <c:pt idx="17">
                  <c:v>0.24198895027624512</c:v>
                </c:pt>
                <c:pt idx="18">
                  <c:v>6.9054054054054334E-2</c:v>
                </c:pt>
                <c:pt idx="20">
                  <c:v>7.74398868458267E-2</c:v>
                </c:pt>
                <c:pt idx="21">
                  <c:v>0.10428571428571516</c:v>
                </c:pt>
                <c:pt idx="23">
                  <c:v>2.0391061452513966E-2</c:v>
                </c:pt>
                <c:pt idx="24">
                  <c:v>0.31063829787234043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78784"/>
        <c:axId val="152680320"/>
      </c:barChart>
      <c:catAx>
        <c:axId val="15267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680320"/>
        <c:crosses val="autoZero"/>
        <c:auto val="1"/>
        <c:lblAlgn val="ctr"/>
        <c:lblOffset val="100"/>
        <c:noMultiLvlLbl val="0"/>
      </c:catAx>
      <c:valAx>
        <c:axId val="15268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67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5664885639295076"/>
          <c:y val="6.944444444444444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5.7142857142857141E-2"/>
                  <c:y val="-0.20406277340332457"/>
                </c:manualLayout>
              </c:layout>
              <c:numFmt formatCode="#,##0.00000000000000000000" sourceLinked="0"/>
            </c:trendlineLbl>
          </c:trendline>
          <c:xVal>
            <c:numRef>
              <c:f>Пролейский!$A$35:$A$55</c:f>
              <c:numCache>
                <c:formatCode>General</c:formatCode>
                <c:ptCount val="21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2008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2015</c:v>
                </c:pt>
                <c:pt idx="17">
                  <c:v>2016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</c:numCache>
            </c:numRef>
          </c:xVal>
          <c:yVal>
            <c:numRef>
              <c:f>Пролейский!$F$35:$F$55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4.8299999999999983</c:v>
                </c:pt>
                <c:pt idx="2">
                  <c:v>15.769999999999996</c:v>
                </c:pt>
                <c:pt idx="3">
                  <c:v>18.819999999999993</c:v>
                </c:pt>
                <c:pt idx="4">
                  <c:v>22.859999999999992</c:v>
                </c:pt>
                <c:pt idx="5">
                  <c:v>25.529999999999994</c:v>
                </c:pt>
                <c:pt idx="6">
                  <c:v>30.789999999999992</c:v>
                </c:pt>
                <c:pt idx="7">
                  <c:v>33.829999999999991</c:v>
                </c:pt>
                <c:pt idx="8">
                  <c:v>36.709999999999994</c:v>
                </c:pt>
                <c:pt idx="9">
                  <c:v>38.059999999999995</c:v>
                </c:pt>
                <c:pt idx="10">
                  <c:v>41.349999999999994</c:v>
                </c:pt>
                <c:pt idx="11">
                  <c:v>41.959999999999994</c:v>
                </c:pt>
                <c:pt idx="12">
                  <c:v>42.239999999999995</c:v>
                </c:pt>
                <c:pt idx="13">
                  <c:v>42.36999999999999</c:v>
                </c:pt>
                <c:pt idx="14">
                  <c:v>42.449999999999989</c:v>
                </c:pt>
                <c:pt idx="15">
                  <c:v>42.599999999999987</c:v>
                </c:pt>
                <c:pt idx="16">
                  <c:v>42.589999999999989</c:v>
                </c:pt>
                <c:pt idx="17">
                  <c:v>42.569999999999993</c:v>
                </c:pt>
                <c:pt idx="18">
                  <c:v>42.519999999999996</c:v>
                </c:pt>
                <c:pt idx="19">
                  <c:v>42.589999999999996</c:v>
                </c:pt>
                <c:pt idx="20">
                  <c:v>42.769999999999996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54528"/>
        <c:axId val="152856064"/>
      </c:scatterChart>
      <c:valAx>
        <c:axId val="15285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856064"/>
        <c:crosses val="autoZero"/>
        <c:crossBetween val="midCat"/>
      </c:valAx>
      <c:valAx>
        <c:axId val="15285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854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Пролейский!$G$35:$G$54</c:f>
              <c:numCache>
                <c:formatCode>0</c:formatCode>
                <c:ptCount val="20"/>
                <c:pt idx="0" formatCode="General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2003</c:v>
                </c:pt>
                <c:pt idx="8">
                  <c:v>2004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2020</c:v>
                </c:pt>
                <c:pt idx="18">
                  <c:v>2022</c:v>
                </c:pt>
                <c:pt idx="19">
                  <c:v>2023</c:v>
                </c:pt>
              </c:numCache>
            </c:numRef>
          </c:xVal>
          <c:yVal>
            <c:numRef>
              <c:f>Пролейский!$L$35:$L$54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6.2900000000000063</c:v>
                </c:pt>
                <c:pt idx="2">
                  <c:v>15.660000000000004</c:v>
                </c:pt>
                <c:pt idx="3">
                  <c:v>17.160000000000011</c:v>
                </c:pt>
                <c:pt idx="4">
                  <c:v>22.700000000000003</c:v>
                </c:pt>
                <c:pt idx="5">
                  <c:v>25.210000000000008</c:v>
                </c:pt>
                <c:pt idx="6">
                  <c:v>30.42</c:v>
                </c:pt>
                <c:pt idx="7">
                  <c:v>36.200000000000003</c:v>
                </c:pt>
                <c:pt idx="8">
                  <c:v>38.450000000000003</c:v>
                </c:pt>
                <c:pt idx="9">
                  <c:v>42.8</c:v>
                </c:pt>
                <c:pt idx="10">
                  <c:v>42.989999999999995</c:v>
                </c:pt>
                <c:pt idx="11">
                  <c:v>43.519999999999996</c:v>
                </c:pt>
                <c:pt idx="12">
                  <c:v>43.739999999999995</c:v>
                </c:pt>
                <c:pt idx="13">
                  <c:v>43.919999999999995</c:v>
                </c:pt>
                <c:pt idx="14">
                  <c:v>43.949999999999996</c:v>
                </c:pt>
                <c:pt idx="15">
                  <c:v>43.989999999999995</c:v>
                </c:pt>
                <c:pt idx="16">
                  <c:v>44.19</c:v>
                </c:pt>
                <c:pt idx="17">
                  <c:v>44.319999999999993</c:v>
                </c:pt>
                <c:pt idx="18">
                  <c:v>44.289999999999992</c:v>
                </c:pt>
                <c:pt idx="19">
                  <c:v>44.529999999999994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68352"/>
        <c:axId val="152869888"/>
      </c:scatterChart>
      <c:valAx>
        <c:axId val="15286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869888"/>
        <c:crosses val="autoZero"/>
        <c:crossBetween val="midCat"/>
      </c:valAx>
      <c:valAx>
        <c:axId val="15286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868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7164588801399824"/>
          <c:y val="5.092592592592592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45646237970253717"/>
                  <c:y val="-0.12072944006999126"/>
                </c:manualLayout>
              </c:layout>
              <c:numFmt formatCode="#,##0.00000000000000000000" sourceLinked="0"/>
            </c:trendlineLbl>
          </c:trendline>
          <c:xVal>
            <c:numRef>
              <c:f>Пролейский!$M$35:$M$52</c:f>
              <c:numCache>
                <c:formatCode>0</c:formatCode>
                <c:ptCount val="18"/>
                <c:pt idx="0" formatCode="General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1997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2003</c:v>
                </c:pt>
                <c:pt idx="8">
                  <c:v>2004</c:v>
                </c:pt>
                <c:pt idx="9">
                  <c:v>2006</c:v>
                </c:pt>
                <c:pt idx="10">
                  <c:v>2006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Пролейский!$R$35:$R$52</c:f>
              <c:numCache>
                <c:formatCode>General</c:formatCode>
                <c:ptCount val="18"/>
                <c:pt idx="0">
                  <c:v>0</c:v>
                </c:pt>
                <c:pt idx="1">
                  <c:v>0.5</c:v>
                </c:pt>
                <c:pt idx="2">
                  <c:v>7.14</c:v>
                </c:pt>
                <c:pt idx="3" formatCode="0.00">
                  <c:v>7.1999999999999993</c:v>
                </c:pt>
                <c:pt idx="4" formatCode="0.00">
                  <c:v>7.6</c:v>
                </c:pt>
                <c:pt idx="5">
                  <c:v>10.39</c:v>
                </c:pt>
                <c:pt idx="6">
                  <c:v>11.020000000000001</c:v>
                </c:pt>
                <c:pt idx="7">
                  <c:v>11.030000000000001</c:v>
                </c:pt>
                <c:pt idx="8">
                  <c:v>11.030000000000001</c:v>
                </c:pt>
                <c:pt idx="9">
                  <c:v>11.020000000000001</c:v>
                </c:pt>
                <c:pt idx="10">
                  <c:v>11.030000000000001</c:v>
                </c:pt>
                <c:pt idx="11">
                  <c:v>11.190000000000001</c:v>
                </c:pt>
                <c:pt idx="12">
                  <c:v>11.260000000000002</c:v>
                </c:pt>
                <c:pt idx="13">
                  <c:v>11.260000000000002</c:v>
                </c:pt>
                <c:pt idx="14">
                  <c:v>11.240000000000002</c:v>
                </c:pt>
                <c:pt idx="15">
                  <c:v>11.240000000000002</c:v>
                </c:pt>
                <c:pt idx="16">
                  <c:v>11.240000000000002</c:v>
                </c:pt>
                <c:pt idx="17">
                  <c:v>11.240000000000002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42944"/>
        <c:axId val="153044480"/>
      </c:scatterChart>
      <c:valAx>
        <c:axId val="15304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044480"/>
        <c:crosses val="autoZero"/>
        <c:crossBetween val="midCat"/>
      </c:valAx>
      <c:valAx>
        <c:axId val="15304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0429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 с 2001 по 2023 гг.</c:v>
          </c:tx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4.1289807524059495E-2"/>
                  <c:y val="-7.1162533837369535E-2"/>
                </c:manualLayout>
              </c:layout>
              <c:numFmt formatCode="#,##0.0000000000" sourceLinked="0"/>
            </c:trendlineLbl>
          </c:trendline>
          <c:xVal>
            <c:numRef>
              <c:f>Пролейский!$M$41:$M$52</c:f>
              <c:numCache>
                <c:formatCode>0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2006</c:v>
                </c:pt>
                <c:pt idx="4">
                  <c:v>2006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2019</c:v>
                </c:pt>
                <c:pt idx="9">
                  <c:v>2020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Пролейский!$R$41:$R$52</c:f>
              <c:numCache>
                <c:formatCode>General</c:formatCode>
                <c:ptCount val="12"/>
                <c:pt idx="0">
                  <c:v>11.020000000000001</c:v>
                </c:pt>
                <c:pt idx="1">
                  <c:v>11.030000000000001</c:v>
                </c:pt>
                <c:pt idx="2">
                  <c:v>11.030000000000001</c:v>
                </c:pt>
                <c:pt idx="3">
                  <c:v>11.020000000000001</c:v>
                </c:pt>
                <c:pt idx="4">
                  <c:v>11.030000000000001</c:v>
                </c:pt>
                <c:pt idx="5">
                  <c:v>11.190000000000001</c:v>
                </c:pt>
                <c:pt idx="6">
                  <c:v>11.260000000000002</c:v>
                </c:pt>
                <c:pt idx="7">
                  <c:v>11.260000000000002</c:v>
                </c:pt>
                <c:pt idx="8">
                  <c:v>11.240000000000002</c:v>
                </c:pt>
                <c:pt idx="9">
                  <c:v>11.240000000000002</c:v>
                </c:pt>
                <c:pt idx="10">
                  <c:v>11.240000000000002</c:v>
                </c:pt>
                <c:pt idx="11">
                  <c:v>11.240000000000002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82112"/>
        <c:axId val="153092096"/>
      </c:scatterChart>
      <c:valAx>
        <c:axId val="153082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53092096"/>
        <c:crosses val="autoZero"/>
        <c:crossBetween val="midCat"/>
      </c:valAx>
      <c:valAx>
        <c:axId val="153092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08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708573928258967"/>
          <c:y val="0.19480351414406533"/>
          <c:w val="0.71394203849518811"/>
          <c:h val="0.68921660834062404"/>
        </c:manualLayout>
      </c:layout>
      <c:scatterChart>
        <c:scatterStyle val="lineMarker"/>
        <c:varyColors val="0"/>
        <c:ser>
          <c:idx val="0"/>
          <c:order val="0"/>
          <c:tx>
            <c:v>Профиль 2 с 2006 по 2023 гг.</c:v>
          </c:tx>
          <c:trendline>
            <c:trendlineType val="poly"/>
            <c:order val="4"/>
            <c:dispRSqr val="1"/>
            <c:dispEq val="1"/>
            <c:trendlineLbl>
              <c:numFmt formatCode="#,##0.00000000000000000000" sourceLinked="0"/>
            </c:trendlineLbl>
          </c:trendline>
          <c:xVal>
            <c:numRef>
              <c:f>Пролейский!$A$45:$A$55</c:f>
              <c:numCache>
                <c:formatCode>General</c:formatCode>
                <c:ptCount val="11"/>
                <c:pt idx="0">
                  <c:v>2006</c:v>
                </c:pt>
                <c:pt idx="1">
                  <c:v>2008</c:v>
                </c:pt>
                <c:pt idx="2">
                  <c:v>2009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2019</c:v>
                </c:pt>
                <c:pt idx="9">
                  <c:v>2020</c:v>
                </c:pt>
                <c:pt idx="10">
                  <c:v>2023</c:v>
                </c:pt>
              </c:numCache>
            </c:numRef>
          </c:xVal>
          <c:yVal>
            <c:numRef>
              <c:f>Пролейский!$F$45:$F$55</c:f>
              <c:numCache>
                <c:formatCode>0.00</c:formatCode>
                <c:ptCount val="11"/>
                <c:pt idx="0">
                  <c:v>41.349999999999994</c:v>
                </c:pt>
                <c:pt idx="1">
                  <c:v>41.959999999999994</c:v>
                </c:pt>
                <c:pt idx="2">
                  <c:v>42.239999999999995</c:v>
                </c:pt>
                <c:pt idx="3">
                  <c:v>42.36999999999999</c:v>
                </c:pt>
                <c:pt idx="4">
                  <c:v>42.449999999999989</c:v>
                </c:pt>
                <c:pt idx="5">
                  <c:v>42.599999999999987</c:v>
                </c:pt>
                <c:pt idx="6">
                  <c:v>42.589999999999989</c:v>
                </c:pt>
                <c:pt idx="7">
                  <c:v>42.569999999999993</c:v>
                </c:pt>
                <c:pt idx="8">
                  <c:v>42.519999999999996</c:v>
                </c:pt>
                <c:pt idx="9">
                  <c:v>42.589999999999996</c:v>
                </c:pt>
                <c:pt idx="10">
                  <c:v>42.769999999999996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1536"/>
        <c:axId val="153123072"/>
      </c:scatterChart>
      <c:valAx>
        <c:axId val="15312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23072"/>
        <c:crosses val="autoZero"/>
        <c:crossBetween val="midCat"/>
      </c:valAx>
      <c:valAx>
        <c:axId val="1531230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121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1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56779139064E-2"/>
          <c:y val="0.1545548541969444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Пролейский!$Q$4:$Q$28</c:f>
              <c:numCache>
                <c:formatCode>0.00</c:formatCode>
                <c:ptCount val="25"/>
                <c:pt idx="1">
                  <c:v>0.17331433998100665</c:v>
                </c:pt>
                <c:pt idx="2">
                  <c:v>2.199274047186933</c:v>
                </c:pt>
                <c:pt idx="4">
                  <c:v>1.4202334630350194E-2</c:v>
                </c:pt>
                <c:pt idx="5">
                  <c:v>0.21037463976945245</c:v>
                </c:pt>
                <c:pt idx="6">
                  <c:v>2.8130578512396696</c:v>
                </c:pt>
                <c:pt idx="7">
                  <c:v>0.63</c:v>
                </c:pt>
                <c:pt idx="8">
                  <c:v>4.9324324324324324E-3</c:v>
                </c:pt>
                <c:pt idx="9">
                  <c:v>0</c:v>
                </c:pt>
                <c:pt idx="10">
                  <c:v>0</c:v>
                </c:pt>
                <c:pt idx="11">
                  <c:v>5.2898550724637679E-2</c:v>
                </c:pt>
                <c:pt idx="12">
                  <c:v>0.13895939086294415</c:v>
                </c:pt>
                <c:pt idx="13">
                  <c:v>0</c:v>
                </c:pt>
                <c:pt idx="17">
                  <c:v>7.5724137931034484E-3</c:v>
                </c:pt>
                <c:pt idx="19">
                  <c:v>6.9054054054054056E-2</c:v>
                </c:pt>
                <c:pt idx="21">
                  <c:v>-4.7225806451612904E-3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156224"/>
        <c:axId val="153162112"/>
      </c:barChart>
      <c:catAx>
        <c:axId val="15315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62112"/>
        <c:crosses val="autoZero"/>
        <c:auto val="1"/>
        <c:lblAlgn val="ctr"/>
        <c:lblOffset val="100"/>
        <c:noMultiLvlLbl val="0"/>
      </c:catAx>
      <c:valAx>
        <c:axId val="15316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15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6799389438028E-2"/>
          <c:y val="0.12313782205795704"/>
          <c:w val="0.87070717224176764"/>
          <c:h val="0.79165247201242706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Пролейский!$T$4:$T$36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Пролейский!$U$4:$U$36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86304"/>
        <c:axId val="153187840"/>
      </c:scatterChart>
      <c:valAx>
        <c:axId val="1531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87840"/>
        <c:crosses val="autoZero"/>
        <c:crossBetween val="midCat"/>
      </c:valAx>
      <c:valAx>
        <c:axId val="1531878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1863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208037825059103"/>
          <c:y val="0.15138946917349616"/>
          <c:w val="0.28799054373522459"/>
          <c:h val="6.150650811505704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2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56779139064E-2"/>
          <c:y val="0.1545548541969444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Пролейский!$F$4:$F$28</c:f>
              <c:numCache>
                <c:formatCode>0.00</c:formatCode>
                <c:ptCount val="25"/>
                <c:pt idx="1">
                  <c:v>1.6742165242165237</c:v>
                </c:pt>
                <c:pt idx="2">
                  <c:v>3.6235027223230483</c:v>
                </c:pt>
                <c:pt idx="3">
                  <c:v>1.4217752234993599</c:v>
                </c:pt>
                <c:pt idx="4">
                  <c:v>1.942819499341238</c:v>
                </c:pt>
                <c:pt idx="5">
                  <c:v>1.4042507204610961</c:v>
                </c:pt>
                <c:pt idx="6">
                  <c:v>5.3034710743801634</c:v>
                </c:pt>
                <c:pt idx="7">
                  <c:v>3.0399999999999991</c:v>
                </c:pt>
                <c:pt idx="8">
                  <c:v>1.42054054054054</c:v>
                </c:pt>
                <c:pt idx="9">
                  <c:v>1.335365853658538</c:v>
                </c:pt>
                <c:pt idx="11">
                  <c:v>1.5029411764705878</c:v>
                </c:pt>
                <c:pt idx="12">
                  <c:v>0.2833248730964481</c:v>
                </c:pt>
                <c:pt idx="13">
                  <c:v>0.43489361702127288</c:v>
                </c:pt>
                <c:pt idx="15">
                  <c:v>0.13254189944133976</c:v>
                </c:pt>
                <c:pt idx="16">
                  <c:v>6.3376623376624835E-2</c:v>
                </c:pt>
                <c:pt idx="17">
                  <c:v>0.21057692307692108</c:v>
                </c:pt>
                <c:pt idx="19">
                  <c:v>-4.9391069012168793E-3</c:v>
                </c:pt>
                <c:pt idx="20">
                  <c:v>0</c:v>
                </c:pt>
                <c:pt idx="21">
                  <c:v>0</c:v>
                </c:pt>
                <c:pt idx="22">
                  <c:v>8.2115384615384951E-2</c:v>
                </c:pt>
                <c:pt idx="24">
                  <c:v>6.0164835164835166E-2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12800"/>
        <c:axId val="153214336"/>
      </c:barChart>
      <c:catAx>
        <c:axId val="15321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214336"/>
        <c:crosses val="autoZero"/>
        <c:auto val="1"/>
        <c:lblAlgn val="ctr"/>
        <c:lblOffset val="100"/>
        <c:noMultiLvlLbl val="0"/>
      </c:catAx>
      <c:valAx>
        <c:axId val="1532143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21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3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62150990958E-2"/>
          <c:y val="0.10573716042931705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Пролейский!$L$4:$L$28</c:f>
              <c:numCache>
                <c:formatCode>0.00</c:formatCode>
                <c:ptCount val="25"/>
                <c:pt idx="1">
                  <c:v>2.1802943969610658</c:v>
                </c:pt>
                <c:pt idx="2">
                  <c:v>3.103493647912885</c:v>
                </c:pt>
                <c:pt idx="3">
                  <c:v>0.69923371647509913</c:v>
                </c:pt>
                <c:pt idx="4">
                  <c:v>2.6641633728590213</c:v>
                </c:pt>
                <c:pt idx="5">
                  <c:v>1.3201008645533168</c:v>
                </c:pt>
                <c:pt idx="6">
                  <c:v>5.2530578512396628</c:v>
                </c:pt>
                <c:pt idx="8">
                  <c:v>1.9092307692307706</c:v>
                </c:pt>
                <c:pt idx="9">
                  <c:v>2.225609756097561</c:v>
                </c:pt>
                <c:pt idx="11">
                  <c:v>1.9871714643304121</c:v>
                </c:pt>
                <c:pt idx="13">
                  <c:v>6.7790811339198884E-2</c:v>
                </c:pt>
                <c:pt idx="15">
                  <c:v>0.54036312849162127</c:v>
                </c:pt>
                <c:pt idx="16">
                  <c:v>0.17428571428571338</c:v>
                </c:pt>
                <c:pt idx="17">
                  <c:v>0.25269230769230733</c:v>
                </c:pt>
                <c:pt idx="18">
                  <c:v>2.9674796747968604E-2</c:v>
                </c:pt>
                <c:pt idx="19">
                  <c:v>3.9459459459458619E-2</c:v>
                </c:pt>
                <c:pt idx="20">
                  <c:v>0.17023255813953425</c:v>
                </c:pt>
                <c:pt idx="22">
                  <c:v>0.15249999999999883</c:v>
                </c:pt>
                <c:pt idx="23">
                  <c:v>0</c:v>
                </c:pt>
                <c:pt idx="24">
                  <c:v>0.23359999999999997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304448"/>
        <c:axId val="153306240"/>
      </c:barChart>
      <c:catAx>
        <c:axId val="1533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306240"/>
        <c:crosses val="autoZero"/>
        <c:auto val="1"/>
        <c:lblAlgn val="ctr"/>
        <c:lblOffset val="100"/>
        <c:noMultiLvlLbl val="0"/>
      </c:catAx>
      <c:valAx>
        <c:axId val="15330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30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57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Молчановка!$A$35:$A$55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2015</c:v>
                </c:pt>
                <c:pt idx="16">
                  <c:v>2016</c:v>
                </c:pt>
                <c:pt idx="17">
                  <c:v>2016</c:v>
                </c:pt>
                <c:pt idx="18">
                  <c:v>2019</c:v>
                </c:pt>
                <c:pt idx="19">
                  <c:v>2021</c:v>
                </c:pt>
                <c:pt idx="20">
                  <c:v>2022</c:v>
                </c:pt>
              </c:numCache>
            </c:numRef>
          </c:xVal>
          <c:yVal>
            <c:numRef>
              <c:f>Молчановка!$F$35:$F$55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4.7000000000000171</c:v>
                </c:pt>
                <c:pt idx="2">
                  <c:v>29.800000000000011</c:v>
                </c:pt>
                <c:pt idx="3">
                  <c:v>47.060000000000016</c:v>
                </c:pt>
                <c:pt idx="4">
                  <c:v>53.800000000000011</c:v>
                </c:pt>
                <c:pt idx="5">
                  <c:v>58</c:v>
                </c:pt>
                <c:pt idx="6">
                  <c:v>66.600000000000009</c:v>
                </c:pt>
                <c:pt idx="7">
                  <c:v>68.150000000000006</c:v>
                </c:pt>
                <c:pt idx="8">
                  <c:v>71.510000000000005</c:v>
                </c:pt>
                <c:pt idx="9">
                  <c:v>73.440000000000012</c:v>
                </c:pt>
                <c:pt idx="10">
                  <c:v>73.790000000000006</c:v>
                </c:pt>
                <c:pt idx="11">
                  <c:v>74.13000000000001</c:v>
                </c:pt>
                <c:pt idx="12">
                  <c:v>74.530000000000015</c:v>
                </c:pt>
                <c:pt idx="13">
                  <c:v>74.590000000000018</c:v>
                </c:pt>
                <c:pt idx="14">
                  <c:v>77.81</c:v>
                </c:pt>
                <c:pt idx="15">
                  <c:v>78.75</c:v>
                </c:pt>
                <c:pt idx="16">
                  <c:v>81.12</c:v>
                </c:pt>
                <c:pt idx="17">
                  <c:v>81.330000000000013</c:v>
                </c:pt>
                <c:pt idx="18">
                  <c:v>85.230000000000018</c:v>
                </c:pt>
                <c:pt idx="19">
                  <c:v>88.720000000000027</c:v>
                </c:pt>
                <c:pt idx="20">
                  <c:v>88.810000000000031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98464"/>
        <c:axId val="152416640"/>
      </c:scatterChart>
      <c:valAx>
        <c:axId val="15239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416640"/>
        <c:crosses val="autoZero"/>
        <c:crossBetween val="midCat"/>
      </c:valAx>
      <c:valAx>
        <c:axId val="152416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398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58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Молчановка!$G$35:$G$57</c:f>
              <c:numCache>
                <c:formatCode>0</c:formatCode>
                <c:ptCount val="23"/>
                <c:pt idx="0" formatCode="General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Молчановка!$L$35:$L$57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7</c:v>
                </c:pt>
                <c:pt idx="2">
                  <c:v>27.199999999999989</c:v>
                </c:pt>
                <c:pt idx="3">
                  <c:v>44.81</c:v>
                </c:pt>
                <c:pt idx="4">
                  <c:v>53</c:v>
                </c:pt>
                <c:pt idx="5">
                  <c:v>64.499999999999986</c:v>
                </c:pt>
                <c:pt idx="6">
                  <c:v>69.699999999999989</c:v>
                </c:pt>
                <c:pt idx="7">
                  <c:v>72.849999999999994</c:v>
                </c:pt>
                <c:pt idx="8">
                  <c:v>79.099999999999994</c:v>
                </c:pt>
                <c:pt idx="9">
                  <c:v>89.549999999999983</c:v>
                </c:pt>
                <c:pt idx="10">
                  <c:v>90.649999999999991</c:v>
                </c:pt>
                <c:pt idx="11">
                  <c:v>94.409999999999982</c:v>
                </c:pt>
                <c:pt idx="12">
                  <c:v>96.999999999999986</c:v>
                </c:pt>
                <c:pt idx="13">
                  <c:v>97.24</c:v>
                </c:pt>
                <c:pt idx="14">
                  <c:v>98.91</c:v>
                </c:pt>
                <c:pt idx="15">
                  <c:v>100.12</c:v>
                </c:pt>
                <c:pt idx="16">
                  <c:v>100.14</c:v>
                </c:pt>
                <c:pt idx="17">
                  <c:v>100.28</c:v>
                </c:pt>
                <c:pt idx="18">
                  <c:v>102.51</c:v>
                </c:pt>
                <c:pt idx="19">
                  <c:v>102.51</c:v>
                </c:pt>
                <c:pt idx="20">
                  <c:v>107.37</c:v>
                </c:pt>
                <c:pt idx="21">
                  <c:v>108.81</c:v>
                </c:pt>
                <c:pt idx="22">
                  <c:v>112.34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33792"/>
        <c:axId val="152435328"/>
      </c:scatterChart>
      <c:valAx>
        <c:axId val="15243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435328"/>
        <c:crosses val="autoZero"/>
        <c:crossBetween val="midCat"/>
      </c:valAx>
      <c:valAx>
        <c:axId val="1524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4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59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Молчановка!$M$35:$M$57</c:f>
              <c:numCache>
                <c:formatCode>General</c:formatCode>
                <c:ptCount val="23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Молчановка!$R$35:$R$57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7.6999999999999602</c:v>
                </c:pt>
                <c:pt idx="2">
                  <c:v>26.999999999999972</c:v>
                </c:pt>
                <c:pt idx="3">
                  <c:v>47.169999999999959</c:v>
                </c:pt>
                <c:pt idx="4">
                  <c:v>57.999999999999972</c:v>
                </c:pt>
                <c:pt idx="5">
                  <c:v>67.679999999999978</c:v>
                </c:pt>
                <c:pt idx="6">
                  <c:v>75.07999999999997</c:v>
                </c:pt>
                <c:pt idx="7">
                  <c:v>77.07999999999997</c:v>
                </c:pt>
                <c:pt idx="8">
                  <c:v>84.82999999999997</c:v>
                </c:pt>
                <c:pt idx="9">
                  <c:v>95.409999999999968</c:v>
                </c:pt>
                <c:pt idx="10">
                  <c:v>96.919999999999973</c:v>
                </c:pt>
                <c:pt idx="11">
                  <c:v>100.39999999999998</c:v>
                </c:pt>
                <c:pt idx="12">
                  <c:v>101.89999999999998</c:v>
                </c:pt>
                <c:pt idx="13">
                  <c:v>102.98999999999997</c:v>
                </c:pt>
                <c:pt idx="14">
                  <c:v>104.50999999999998</c:v>
                </c:pt>
                <c:pt idx="15">
                  <c:v>104.53999999999998</c:v>
                </c:pt>
                <c:pt idx="16">
                  <c:v>104.63999999999997</c:v>
                </c:pt>
                <c:pt idx="17">
                  <c:v>104.87999999999997</c:v>
                </c:pt>
                <c:pt idx="18">
                  <c:v>104.90999999999997</c:v>
                </c:pt>
                <c:pt idx="19">
                  <c:v>104.95999999999997</c:v>
                </c:pt>
                <c:pt idx="20">
                  <c:v>106.99999999999997</c:v>
                </c:pt>
                <c:pt idx="21">
                  <c:v>109.22999999999998</c:v>
                </c:pt>
                <c:pt idx="22">
                  <c:v>109.99999999999997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72960"/>
        <c:axId val="152482944"/>
      </c:scatterChart>
      <c:valAx>
        <c:axId val="15247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482944"/>
        <c:crosses val="autoZero"/>
        <c:crossBetween val="midCat"/>
      </c:valAx>
      <c:valAx>
        <c:axId val="15248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472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Молчановка!$F$4:$F$27</c:f>
              <c:numCache>
                <c:formatCode>0.00</c:formatCode>
                <c:ptCount val="24"/>
                <c:pt idx="1">
                  <c:v>2.2844621513944303</c:v>
                </c:pt>
                <c:pt idx="2">
                  <c:v>5.2622056289488786</c:v>
                </c:pt>
                <c:pt idx="3">
                  <c:v>3.4729327453142234</c:v>
                </c:pt>
                <c:pt idx="4">
                  <c:v>1.6849999999999987</c:v>
                </c:pt>
                <c:pt idx="5">
                  <c:v>0.66087704213241427</c:v>
                </c:pt>
                <c:pt idx="6">
                  <c:v>1.4532407407407422</c:v>
                </c:pt>
                <c:pt idx="7">
                  <c:v>0.60378868729989221</c:v>
                </c:pt>
                <c:pt idx="8">
                  <c:v>0.61876892028254282</c:v>
                </c:pt>
                <c:pt idx="9">
                  <c:v>0.2205541640576088</c:v>
                </c:pt>
                <c:pt idx="10">
                  <c:v>0.34621621621621057</c:v>
                </c:pt>
                <c:pt idx="12">
                  <c:v>0.15610062893081916</c:v>
                </c:pt>
                <c:pt idx="13">
                  <c:v>0.14271749755620927</c:v>
                </c:pt>
                <c:pt idx="14">
                  <c:v>5.918918918919143E-2</c:v>
                </c:pt>
                <c:pt idx="15">
                  <c:v>1.4478132678132642</c:v>
                </c:pt>
                <c:pt idx="18">
                  <c:v>0.92981029810298588</c:v>
                </c:pt>
                <c:pt idx="19">
                  <c:v>2.7461904761904732</c:v>
                </c:pt>
                <c:pt idx="20">
                  <c:v>0.6683478260869592</c:v>
                </c:pt>
                <c:pt idx="21">
                  <c:v>1.3416588124410929</c:v>
                </c:pt>
                <c:pt idx="22">
                  <c:v>1.8381673881673894</c:v>
                </c:pt>
                <c:pt idx="23">
                  <c:v>8.3801020408163271E-2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7152"/>
        <c:axId val="152578688"/>
      </c:barChart>
      <c:catAx>
        <c:axId val="1525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578688"/>
        <c:crosses val="autoZero"/>
        <c:auto val="1"/>
        <c:lblAlgn val="ctr"/>
        <c:lblOffset val="100"/>
        <c:noMultiLvlLbl val="0"/>
      </c:catAx>
      <c:valAx>
        <c:axId val="1525786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257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Молчановка!$K$4:$K$27</c:f>
              <c:numCache>
                <c:formatCode>0.00</c:formatCode>
                <c:ptCount val="24"/>
                <c:pt idx="1">
                  <c:v>3.402390438247012</c:v>
                </c:pt>
                <c:pt idx="2">
                  <c:v>4.2349224583572633</c:v>
                </c:pt>
                <c:pt idx="3">
                  <c:v>3.5433572216097051</c:v>
                </c:pt>
                <c:pt idx="4">
                  <c:v>2.0474999999999994</c:v>
                </c:pt>
                <c:pt idx="5">
                  <c:v>1.8095442820292325</c:v>
                </c:pt>
                <c:pt idx="6">
                  <c:v>0.87870370370370421</c:v>
                </c:pt>
                <c:pt idx="7">
                  <c:v>1.2270544290288175</c:v>
                </c:pt>
                <c:pt idx="8">
                  <c:v>1.15098385469223</c:v>
                </c:pt>
                <c:pt idx="9">
                  <c:v>1.1941922354414514</c:v>
                </c:pt>
                <c:pt idx="10">
                  <c:v>1.0881081081081165</c:v>
                </c:pt>
                <c:pt idx="12">
                  <c:v>1.7262893081760964</c:v>
                </c:pt>
                <c:pt idx="13">
                  <c:v>0.92409579667644304</c:v>
                </c:pt>
                <c:pt idx="14">
                  <c:v>0.23675675675676572</c:v>
                </c:pt>
                <c:pt idx="15">
                  <c:v>0.7508845208845184</c:v>
                </c:pt>
                <c:pt idx="16">
                  <c:v>1.647947761194031</c:v>
                </c:pt>
                <c:pt idx="17">
                  <c:v>1.9945355191252862E-2</c:v>
                </c:pt>
                <c:pt idx="18">
                  <c:v>0.13848238482384881</c:v>
                </c:pt>
                <c:pt idx="19">
                  <c:v>2.5839682539682585</c:v>
                </c:pt>
                <c:pt idx="20">
                  <c:v>0</c:v>
                </c:pt>
                <c:pt idx="21">
                  <c:v>1.67191328934967</c:v>
                </c:pt>
                <c:pt idx="22">
                  <c:v>0.75844155844156091</c:v>
                </c:pt>
                <c:pt idx="23">
                  <c:v>3.2868622448979585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95072"/>
        <c:axId val="152596864"/>
      </c:barChart>
      <c:catAx>
        <c:axId val="15259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596864"/>
        <c:crosses val="autoZero"/>
        <c:auto val="1"/>
        <c:lblAlgn val="ctr"/>
        <c:lblOffset val="100"/>
        <c:noMultiLvlLbl val="0"/>
      </c:catAx>
      <c:valAx>
        <c:axId val="15259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59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59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Молчановка!$P$4:$P$27</c:f>
              <c:numCache>
                <c:formatCode>0.00</c:formatCode>
                <c:ptCount val="24"/>
                <c:pt idx="1">
                  <c:v>3.7426294820716937</c:v>
                </c:pt>
                <c:pt idx="2">
                  <c:v>4.0462377943710539</c:v>
                </c:pt>
                <c:pt idx="3">
                  <c:v>4.0584619625137792</c:v>
                </c:pt>
                <c:pt idx="4">
                  <c:v>2.7075000000000031</c:v>
                </c:pt>
                <c:pt idx="5">
                  <c:v>1.523164230438522</c:v>
                </c:pt>
                <c:pt idx="6">
                  <c:v>1.2504629629629616</c:v>
                </c:pt>
                <c:pt idx="7">
                  <c:v>0.77908217716115258</c:v>
                </c:pt>
                <c:pt idx="8">
                  <c:v>1.4272199798183653</c:v>
                </c:pt>
                <c:pt idx="9">
                  <c:v>1.2090482154038822</c:v>
                </c:pt>
                <c:pt idx="10">
                  <c:v>1.4936756756756808</c:v>
                </c:pt>
                <c:pt idx="12">
                  <c:v>1.5977358490566056</c:v>
                </c:pt>
                <c:pt idx="13">
                  <c:v>0.53519061583577709</c:v>
                </c:pt>
                <c:pt idx="14">
                  <c:v>1.0752702702702597</c:v>
                </c:pt>
                <c:pt idx="15">
                  <c:v>0.68343980343980815</c:v>
                </c:pt>
                <c:pt idx="16">
                  <c:v>4.0858208955225427E-2</c:v>
                </c:pt>
                <c:pt idx="17">
                  <c:v>9.9726775956278491E-2</c:v>
                </c:pt>
                <c:pt idx="18">
                  <c:v>0.23739837398373478</c:v>
                </c:pt>
                <c:pt idx="19">
                  <c:v>3.4761904761906076E-2</c:v>
                </c:pt>
                <c:pt idx="20">
                  <c:v>0.15913043478259964</c:v>
                </c:pt>
                <c:pt idx="21">
                  <c:v>0.70179076343072788</c:v>
                </c:pt>
                <c:pt idx="22">
                  <c:v>1.1745310245310265</c:v>
                </c:pt>
                <c:pt idx="23">
                  <c:v>0.71696428571428572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29632"/>
        <c:axId val="152631168"/>
      </c:barChart>
      <c:catAx>
        <c:axId val="15262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631168"/>
        <c:crosses val="autoZero"/>
        <c:auto val="1"/>
        <c:lblAlgn val="ctr"/>
        <c:lblOffset val="100"/>
        <c:noMultiLvlLbl val="0"/>
      </c:catAx>
      <c:valAx>
        <c:axId val="15263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6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287032405885748E-2"/>
          <c:y val="0.13045953039653826"/>
          <c:w val="0.86083274980827018"/>
          <c:h val="0.77926424061857136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Молчановка!$T$4:$T$36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Молчановка!$U$4:$U$36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42112"/>
        <c:axId val="153643648"/>
      </c:scatterChart>
      <c:valAx>
        <c:axId val="15364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643648"/>
        <c:crosses val="autoZero"/>
        <c:crossBetween val="midCat"/>
      </c:valAx>
      <c:valAx>
        <c:axId val="1536436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6421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751361161524503"/>
          <c:y val="0.14507568986309144"/>
          <c:w val="0.28396265184320763"/>
          <c:h val="6.51636518408171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'Пичуга-Южный'!$A$28:$A$41</c:f>
              <c:numCache>
                <c:formatCode>General</c:formatCode>
                <c:ptCount val="14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1995</c:v>
                </c:pt>
                <c:pt idx="5">
                  <c:v>2006</c:v>
                </c:pt>
                <c:pt idx="6">
                  <c:v>2009</c:v>
                </c:pt>
                <c:pt idx="7">
                  <c:v>2011</c:v>
                </c:pt>
                <c:pt idx="8">
                  <c:v>2013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2019</c:v>
                </c:pt>
                <c:pt idx="13">
                  <c:v>2024</c:v>
                </c:pt>
              </c:numCache>
            </c:numRef>
          </c:xVal>
          <c:yVal>
            <c:numRef>
              <c:f>'Пичуга-Южный'!$F$28:$F$41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0.69999999999999574</c:v>
                </c:pt>
                <c:pt idx="2">
                  <c:v>4.3000000000000043</c:v>
                </c:pt>
                <c:pt idx="3">
                  <c:v>7.3000000000000007</c:v>
                </c:pt>
                <c:pt idx="4">
                  <c:v>7.59</c:v>
                </c:pt>
                <c:pt idx="5">
                  <c:v>10.489999999999998</c:v>
                </c:pt>
                <c:pt idx="6">
                  <c:v>10.599999999999998</c:v>
                </c:pt>
                <c:pt idx="7">
                  <c:v>10.95</c:v>
                </c:pt>
                <c:pt idx="8">
                  <c:v>11.34</c:v>
                </c:pt>
                <c:pt idx="9">
                  <c:v>11.96</c:v>
                </c:pt>
                <c:pt idx="10">
                  <c:v>11.96</c:v>
                </c:pt>
                <c:pt idx="11">
                  <c:v>12.3</c:v>
                </c:pt>
                <c:pt idx="12">
                  <c:v>12.5</c:v>
                </c:pt>
                <c:pt idx="13">
                  <c:v>12.61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73728"/>
        <c:axId val="153675264"/>
      </c:scatterChart>
      <c:valAx>
        <c:axId val="15367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675264"/>
        <c:crosses val="autoZero"/>
        <c:crossBetween val="midCat"/>
      </c:valAx>
      <c:valAx>
        <c:axId val="15367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673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'Пичуга-Южный'!$G$28:$G$42</c:f>
              <c:numCache>
                <c:formatCode>0</c:formatCode>
                <c:ptCount val="15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2006</c:v>
                </c:pt>
                <c:pt idx="7">
                  <c:v>2009</c:v>
                </c:pt>
                <c:pt idx="8">
                  <c:v>2011</c:v>
                </c:pt>
                <c:pt idx="9">
                  <c:v>2013</c:v>
                </c:pt>
                <c:pt idx="10">
                  <c:v>2016</c:v>
                </c:pt>
                <c:pt idx="11">
                  <c:v>2017</c:v>
                </c:pt>
                <c:pt idx="12">
                  <c:v>2019</c:v>
                </c:pt>
                <c:pt idx="13">
                  <c:v>2021</c:v>
                </c:pt>
                <c:pt idx="14">
                  <c:v>2024</c:v>
                </c:pt>
              </c:numCache>
            </c:numRef>
          </c:xVal>
          <c:yVal>
            <c:numRef>
              <c:f>'Пичуга-Южный'!$L$28:$L$42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1.389999999999997</c:v>
                </c:pt>
                <c:pt idx="2">
                  <c:v>3.889999999999997</c:v>
                </c:pt>
                <c:pt idx="3">
                  <c:v>3.9499999999999993</c:v>
                </c:pt>
                <c:pt idx="4">
                  <c:v>4.8000000000000007</c:v>
                </c:pt>
                <c:pt idx="5">
                  <c:v>6.370000000000001</c:v>
                </c:pt>
                <c:pt idx="6">
                  <c:v>10.629999999999999</c:v>
                </c:pt>
                <c:pt idx="7">
                  <c:v>10.68</c:v>
                </c:pt>
                <c:pt idx="8">
                  <c:v>10.919999999999998</c:v>
                </c:pt>
                <c:pt idx="9">
                  <c:v>10.919999999999998</c:v>
                </c:pt>
                <c:pt idx="10">
                  <c:v>10.919999999999998</c:v>
                </c:pt>
                <c:pt idx="11">
                  <c:v>11.299999999999997</c:v>
                </c:pt>
                <c:pt idx="12">
                  <c:v>11.319999999999997</c:v>
                </c:pt>
                <c:pt idx="13">
                  <c:v>11.499999999999996</c:v>
                </c:pt>
                <c:pt idx="14">
                  <c:v>11.609999999999996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12896"/>
        <c:axId val="153726976"/>
      </c:scatterChart>
      <c:valAx>
        <c:axId val="15371289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53726976"/>
        <c:crosses val="autoZero"/>
        <c:crossBetween val="midCat"/>
      </c:valAx>
      <c:valAx>
        <c:axId val="15372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7128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5.5338363954505684E-2"/>
                  <c:y val="-5.1505176436278798E-2"/>
                </c:manualLayout>
              </c:layout>
              <c:numFmt formatCode="General" sourceLinked="0"/>
            </c:trendlineLbl>
          </c:trendline>
          <c:xVal>
            <c:numRef>
              <c:f>'Пичуга-Южный'!$M$28:$M$35</c:f>
              <c:numCache>
                <c:formatCode>0</c:formatCode>
                <c:ptCount val="8"/>
                <c:pt idx="0" formatCode="General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2011</c:v>
                </c:pt>
                <c:pt idx="7">
                  <c:v>2024</c:v>
                </c:pt>
              </c:numCache>
            </c:numRef>
          </c:xVal>
          <c:yVal>
            <c:numRef>
              <c:f>'Пичуга-Южный'!$R$28:$R$35</c:f>
              <c:numCache>
                <c:formatCode>General</c:formatCode>
                <c:ptCount val="8"/>
                <c:pt idx="0">
                  <c:v>0</c:v>
                </c:pt>
                <c:pt idx="1">
                  <c:v>3.28</c:v>
                </c:pt>
                <c:pt idx="2">
                  <c:v>4.2699999999999996</c:v>
                </c:pt>
                <c:pt idx="3">
                  <c:v>4.55</c:v>
                </c:pt>
                <c:pt idx="4">
                  <c:v>5.85</c:v>
                </c:pt>
                <c:pt idx="5">
                  <c:v>6.4799999999999995</c:v>
                </c:pt>
                <c:pt idx="6">
                  <c:v>11.96</c:v>
                </c:pt>
                <c:pt idx="7">
                  <c:v>13.670000000000002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17856"/>
        <c:axId val="153819392"/>
      </c:scatterChart>
      <c:valAx>
        <c:axId val="15381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819392"/>
        <c:crosses val="autoZero"/>
        <c:crossBetween val="midCat"/>
      </c:valAx>
      <c:valAx>
        <c:axId val="15381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817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'Пичуга-Южный'!$F$4:$F$21</c:f>
              <c:numCache>
                <c:formatCode>0.00</c:formatCode>
                <c:ptCount val="18"/>
                <c:pt idx="1">
                  <c:v>0.23943925233644717</c:v>
                </c:pt>
                <c:pt idx="2">
                  <c:v>0.59700136301681195</c:v>
                </c:pt>
                <c:pt idx="3">
                  <c:v>1.6437125748502974</c:v>
                </c:pt>
                <c:pt idx="5">
                  <c:v>4.2424849699398672E-2</c:v>
                </c:pt>
                <c:pt idx="8">
                  <c:v>2.4221967963386719</c:v>
                </c:pt>
                <c:pt idx="9">
                  <c:v>3.9247311827956786E-2</c:v>
                </c:pt>
                <c:pt idx="10">
                  <c:v>0.16089420654911904</c:v>
                </c:pt>
                <c:pt idx="11">
                  <c:v>0.21792366412213773</c:v>
                </c:pt>
                <c:pt idx="12">
                  <c:v>0.30539811066126904</c:v>
                </c:pt>
                <c:pt idx="13">
                  <c:v>0</c:v>
                </c:pt>
                <c:pt idx="14">
                  <c:v>0.44640287769784154</c:v>
                </c:pt>
                <c:pt idx="15">
                  <c:v>8.7142857142856828E-2</c:v>
                </c:pt>
                <c:pt idx="17">
                  <c:v>2.3137931034482757E-2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864448"/>
        <c:axId val="153870336"/>
      </c:barChart>
      <c:catAx>
        <c:axId val="15386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870336"/>
        <c:crosses val="autoZero"/>
        <c:auto val="1"/>
        <c:lblAlgn val="ctr"/>
        <c:lblOffset val="100"/>
        <c:noMultiLvlLbl val="0"/>
      </c:catAx>
      <c:valAx>
        <c:axId val="15387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8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508861745638728E-2"/>
          <c:y val="0.15722918157957527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626875875488236E-2"/>
          <c:y val="0.13408340624088655"/>
          <c:w val="0.86518308162299362"/>
          <c:h val="0.77313269174686494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'Пичуга-Южный'!$Z$3:$Z$35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'Пичуга-Южный'!$AA$3:$AA$35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86720"/>
        <c:axId val="153888256"/>
      </c:scatterChart>
      <c:valAx>
        <c:axId val="15388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888256"/>
        <c:crosses val="autoZero"/>
        <c:crossBetween val="midCat"/>
      </c:valAx>
      <c:valAx>
        <c:axId val="1538882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3886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183363691560415"/>
          <c:y val="0.14632779235928842"/>
          <c:w val="0.29585913782635093"/>
          <c:h val="6.6973753280839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'Пичуга-Южный'!$K$4:$K$21</c:f>
              <c:numCache>
                <c:formatCode>0.00</c:formatCode>
                <c:ptCount val="18"/>
                <c:pt idx="1">
                  <c:v>0.47545794392523266</c:v>
                </c:pt>
                <c:pt idx="2">
                  <c:v>0.41458427987278512</c:v>
                </c:pt>
                <c:pt idx="3">
                  <c:v>3.2874251497007234E-2</c:v>
                </c:pt>
                <c:pt idx="4">
                  <c:v>0.58099250936329683</c:v>
                </c:pt>
                <c:pt idx="5">
                  <c:v>0.29222335543090261</c:v>
                </c:pt>
                <c:pt idx="8">
                  <c:v>0.38007822048398904</c:v>
                </c:pt>
                <c:pt idx="9">
                  <c:v>1.7839687194526159E-2</c:v>
                </c:pt>
                <c:pt idx="10">
                  <c:v>0.11032745591939475</c:v>
                </c:pt>
                <c:pt idx="11">
                  <c:v>0</c:v>
                </c:pt>
                <c:pt idx="13">
                  <c:v>0</c:v>
                </c:pt>
                <c:pt idx="14">
                  <c:v>0.49892086330935126</c:v>
                </c:pt>
                <c:pt idx="15">
                  <c:v>8.7142857142855287E-3</c:v>
                </c:pt>
                <c:pt idx="16">
                  <c:v>0.10895522388059685</c:v>
                </c:pt>
                <c:pt idx="17">
                  <c:v>3.5408970976253298E-2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17312"/>
        <c:axId val="153918848"/>
      </c:barChart>
      <c:catAx>
        <c:axId val="15391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918848"/>
        <c:crosses val="autoZero"/>
        <c:auto val="1"/>
        <c:lblAlgn val="ctr"/>
        <c:lblOffset val="100"/>
        <c:noMultiLvlLbl val="0"/>
      </c:catAx>
      <c:valAx>
        <c:axId val="15391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9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508861745638728E-2"/>
          <c:y val="0.15722918157957527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'Пичуга-Южный'!$P$4:$P$21</c:f>
              <c:numCache>
                <c:formatCode>0.00</c:formatCode>
                <c:ptCount val="18"/>
                <c:pt idx="1">
                  <c:v>1.1219439252336449</c:v>
                </c:pt>
                <c:pt idx="2">
                  <c:v>0.16417537482962291</c:v>
                </c:pt>
                <c:pt idx="3">
                  <c:v>0.15341317365269461</c:v>
                </c:pt>
                <c:pt idx="4">
                  <c:v>0.88857677902621723</c:v>
                </c:pt>
                <c:pt idx="5">
                  <c:v>0.11726160122386536</c:v>
                </c:pt>
                <c:pt idx="10">
                  <c:v>0.33948544346648613</c:v>
                </c:pt>
                <c:pt idx="15">
                  <c:v>0.51724508050089446</c:v>
                </c:pt>
                <c:pt idx="16">
                  <c:v>0.30870646766169157</c:v>
                </c:pt>
                <c:pt idx="17">
                  <c:v>0.13364509929532351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39328"/>
        <c:axId val="154276992"/>
      </c:barChart>
      <c:catAx>
        <c:axId val="15393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276992"/>
        <c:crosses val="autoZero"/>
        <c:auto val="1"/>
        <c:lblAlgn val="ctr"/>
        <c:lblOffset val="100"/>
        <c:noMultiLvlLbl val="0"/>
      </c:catAx>
      <c:valAx>
        <c:axId val="15427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9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607967064317631"/>
          <c:y val="0.15722910680733154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9.6516683025439198E-2"/>
          <c:y val="4.6478358368111948E-2"/>
          <c:w val="0.70345472097089723"/>
          <c:h val="0.90704328326377615"/>
        </c:manualLayout>
      </c:layout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2.9656270082944438E-2"/>
                  <c:y val="0.17656963568282358"/>
                </c:manualLayout>
              </c:layout>
              <c:numFmt formatCode="General" sourceLinked="0"/>
            </c:trendlineLbl>
          </c:trendline>
          <c:xVal>
            <c:numRef>
              <c:f>'Ураков Бугор'!$A$35:$A$52</c:f>
              <c:numCache>
                <c:formatCode>General</c:formatCode>
                <c:ptCount val="18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2019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'Ураков Бугор'!$F$35:$F$51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1.210000000000008</c:v>
                </c:pt>
                <c:pt idx="2">
                  <c:v>3.3399999999999892</c:v>
                </c:pt>
                <c:pt idx="3">
                  <c:v>3.4500000000000028</c:v>
                </c:pt>
                <c:pt idx="4">
                  <c:v>3.4599999999999937</c:v>
                </c:pt>
                <c:pt idx="5">
                  <c:v>4.4699999999999989</c:v>
                </c:pt>
                <c:pt idx="6">
                  <c:v>4.4599999999999937</c:v>
                </c:pt>
                <c:pt idx="7">
                  <c:v>4.4699999999999989</c:v>
                </c:pt>
                <c:pt idx="8">
                  <c:v>4.4599999999999937</c:v>
                </c:pt>
                <c:pt idx="9">
                  <c:v>4.5499999999999972</c:v>
                </c:pt>
                <c:pt idx="10">
                  <c:v>4.5499999999999972</c:v>
                </c:pt>
                <c:pt idx="11">
                  <c:v>4.6499999999999915</c:v>
                </c:pt>
                <c:pt idx="12">
                  <c:v>4.7399999999999949</c:v>
                </c:pt>
                <c:pt idx="13">
                  <c:v>4.7399999999999949</c:v>
                </c:pt>
                <c:pt idx="14">
                  <c:v>4.7399999999999949</c:v>
                </c:pt>
                <c:pt idx="15">
                  <c:v>4.8500000000000085</c:v>
                </c:pt>
                <c:pt idx="16">
                  <c:v>4.9200000000000088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47776"/>
        <c:axId val="154353664"/>
      </c:scatterChart>
      <c:valAx>
        <c:axId val="1543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353664"/>
        <c:crosses val="autoZero"/>
        <c:crossBetween val="midCat"/>
      </c:valAx>
      <c:valAx>
        <c:axId val="154353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347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'Ураков Бугор'!$G$35:$G$53</c:f>
              <c:numCache>
                <c:formatCode>0</c:formatCode>
                <c:ptCount val="19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2006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2016</c:v>
                </c:pt>
                <c:pt idx="17">
                  <c:v>2019</c:v>
                </c:pt>
                <c:pt idx="18">
                  <c:v>2023</c:v>
                </c:pt>
              </c:numCache>
            </c:numRef>
          </c:xVal>
          <c:yVal>
            <c:numRef>
              <c:f>'Ураков Бугор'!$L$35:$L$53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0.21999999999999886</c:v>
                </c:pt>
                <c:pt idx="2">
                  <c:v>0.35000000000000142</c:v>
                </c:pt>
                <c:pt idx="3">
                  <c:v>0.36999999999999744</c:v>
                </c:pt>
                <c:pt idx="4">
                  <c:v>0.35000000000000142</c:v>
                </c:pt>
                <c:pt idx="5">
                  <c:v>0.45000000000000284</c:v>
                </c:pt>
                <c:pt idx="6">
                  <c:v>0.45000000000000284</c:v>
                </c:pt>
                <c:pt idx="7">
                  <c:v>0.44000000000000483</c:v>
                </c:pt>
                <c:pt idx="8">
                  <c:v>0.91000000000000369</c:v>
                </c:pt>
                <c:pt idx="9">
                  <c:v>1.0200000000000031</c:v>
                </c:pt>
                <c:pt idx="10">
                  <c:v>1.0300000000000011</c:v>
                </c:pt>
                <c:pt idx="11">
                  <c:v>1.0500000000000043</c:v>
                </c:pt>
                <c:pt idx="12">
                  <c:v>1.1400000000000006</c:v>
                </c:pt>
                <c:pt idx="13">
                  <c:v>1.1400000000000006</c:v>
                </c:pt>
                <c:pt idx="14">
                  <c:v>1.1400000000000006</c:v>
                </c:pt>
                <c:pt idx="15">
                  <c:v>1.1400000000000006</c:v>
                </c:pt>
                <c:pt idx="16">
                  <c:v>1.1499999999999986</c:v>
                </c:pt>
                <c:pt idx="17">
                  <c:v>1.4200000000000017</c:v>
                </c:pt>
                <c:pt idx="18">
                  <c:v>1.7100000000000017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83104"/>
        <c:axId val="154384640"/>
      </c:scatterChart>
      <c:valAx>
        <c:axId val="15438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384640"/>
        <c:crosses val="autoZero"/>
        <c:crossBetween val="midCat"/>
      </c:valAx>
      <c:valAx>
        <c:axId val="15438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383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'Ураков Бугор'!$M$35:$M$50</c:f>
              <c:numCache>
                <c:formatCode>0</c:formatCode>
                <c:ptCount val="16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2019</c:v>
                </c:pt>
                <c:pt idx="14">
                  <c:v>2019</c:v>
                </c:pt>
                <c:pt idx="15">
                  <c:v>2023</c:v>
                </c:pt>
              </c:numCache>
            </c:numRef>
          </c:xVal>
          <c:yVal>
            <c:numRef>
              <c:f>'Ураков Бугор'!$R$35:$R$50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0.25</c:v>
                </c:pt>
                <c:pt idx="2">
                  <c:v>0.45000000000000284</c:v>
                </c:pt>
                <c:pt idx="3">
                  <c:v>0.56000000000000227</c:v>
                </c:pt>
                <c:pt idx="4">
                  <c:v>1.0200000000000031</c:v>
                </c:pt>
                <c:pt idx="5">
                  <c:v>0.88000000000000256</c:v>
                </c:pt>
                <c:pt idx="6">
                  <c:v>0.95000000000000284</c:v>
                </c:pt>
                <c:pt idx="7">
                  <c:v>1.8447619523399155</c:v>
                </c:pt>
                <c:pt idx="8">
                  <c:v>1.9047619523399177</c:v>
                </c:pt>
                <c:pt idx="9">
                  <c:v>1.984761952339916</c:v>
                </c:pt>
                <c:pt idx="10">
                  <c:v>1.5</c:v>
                </c:pt>
                <c:pt idx="11">
                  <c:v>1.4299999999999997</c:v>
                </c:pt>
                <c:pt idx="12">
                  <c:v>1.3500000000000014</c:v>
                </c:pt>
                <c:pt idx="13">
                  <c:v>1.3000000000000043</c:v>
                </c:pt>
                <c:pt idx="14">
                  <c:v>1.4500000000000028</c:v>
                </c:pt>
                <c:pt idx="15">
                  <c:v>2.2200000000000029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16768"/>
        <c:axId val="154059520"/>
      </c:scatterChart>
      <c:valAx>
        <c:axId val="15401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059520"/>
        <c:crosses val="autoZero"/>
        <c:crossBetween val="midCat"/>
      </c:valAx>
      <c:valAx>
        <c:axId val="15405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01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Бугор'!$F$4:$F$27</c:f>
              <c:numCache>
                <c:formatCode>0.00</c:formatCode>
                <c:ptCount val="24"/>
                <c:pt idx="1">
                  <c:v>0.41625824693685481</c:v>
                </c:pt>
                <c:pt idx="2">
                  <c:v>0.41222163308589244</c:v>
                </c:pt>
                <c:pt idx="3">
                  <c:v>2.7747062888738756E-2</c:v>
                </c:pt>
                <c:pt idx="4">
                  <c:v>0</c:v>
                </c:pt>
                <c:pt idx="6">
                  <c:v>0.24977027027027154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0.11097972972973394</c:v>
                </c:pt>
                <c:pt idx="13">
                  <c:v>0</c:v>
                </c:pt>
                <c:pt idx="14">
                  <c:v>9.1959798994969644E-2</c:v>
                </c:pt>
                <c:pt idx="15">
                  <c:v>0.12396226415094809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3.6868131868136443E-2</c:v>
                </c:pt>
                <c:pt idx="22">
                  <c:v>2.3333333333333334E-2</c:v>
                </c:pt>
                <c:pt idx="2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301952"/>
        <c:axId val="154303488"/>
      </c:barChart>
      <c:catAx>
        <c:axId val="15430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303488"/>
        <c:crosses val="autoZero"/>
        <c:auto val="1"/>
        <c:lblAlgn val="ctr"/>
        <c:lblOffset val="100"/>
        <c:noMultiLvlLbl val="0"/>
      </c:catAx>
      <c:valAx>
        <c:axId val="1543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30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Бугор'!$K$4:$K$27</c:f>
              <c:numCache>
                <c:formatCode>0.00</c:formatCode>
                <c:ptCount val="24"/>
                <c:pt idx="1">
                  <c:v>7.5683317624881799E-2</c:v>
                </c:pt>
                <c:pt idx="2">
                  <c:v>2.515906680805988E-2</c:v>
                </c:pt>
                <c:pt idx="3">
                  <c:v>0</c:v>
                </c:pt>
                <c:pt idx="4">
                  <c:v>0</c:v>
                </c:pt>
                <c:pt idx="5">
                  <c:v>3.2853285328533322E-2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0.15638103919781185</c:v>
                </c:pt>
                <c:pt idx="12">
                  <c:v>0.13564189189189119</c:v>
                </c:pt>
                <c:pt idx="13">
                  <c:v>8.7320574162662052E-3</c:v>
                </c:pt>
                <c:pt idx="14">
                  <c:v>1.839195979899785E-2</c:v>
                </c:pt>
                <c:pt idx="15">
                  <c:v>0.12396226415093831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0.14038461538458746</c:v>
                </c:pt>
                <c:pt idx="21">
                  <c:v>9.0494505494506536E-2</c:v>
                </c:pt>
                <c:pt idx="22">
                  <c:v>0</c:v>
                </c:pt>
                <c:pt idx="23">
                  <c:v>7.2898351648351636E-2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90496"/>
        <c:axId val="154096384"/>
      </c:barChart>
      <c:catAx>
        <c:axId val="1540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096384"/>
        <c:crosses val="autoZero"/>
        <c:auto val="1"/>
        <c:lblAlgn val="ctr"/>
        <c:lblOffset val="100"/>
        <c:noMultiLvlLbl val="0"/>
      </c:catAx>
      <c:valAx>
        <c:axId val="15409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09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Бугор'!$P$4:$P$27</c:f>
              <c:numCache>
                <c:formatCode>0.00</c:formatCode>
                <c:ptCount val="24"/>
                <c:pt idx="1">
                  <c:v>8.6003770028275209E-2</c:v>
                </c:pt>
                <c:pt idx="2">
                  <c:v>3.8706256627784222E-2</c:v>
                </c:pt>
                <c:pt idx="3">
                  <c:v>5.3108465608465334E-2</c:v>
                </c:pt>
                <c:pt idx="4">
                  <c:v>0.15913043478260896</c:v>
                </c:pt>
                <c:pt idx="10">
                  <c:v>0</c:v>
                </c:pt>
                <c:pt idx="11">
                  <c:v>0</c:v>
                </c:pt>
                <c:pt idx="12">
                  <c:v>8.6317567567567921E-2</c:v>
                </c:pt>
                <c:pt idx="13">
                  <c:v>0.78131127417241197</c:v>
                </c:pt>
                <c:pt idx="14">
                  <c:v>5.5175879396987017E-2</c:v>
                </c:pt>
                <c:pt idx="15">
                  <c:v>0.11018867924528067</c:v>
                </c:pt>
                <c:pt idx="20">
                  <c:v>5.2847490347489846E-2</c:v>
                </c:pt>
                <c:pt idx="23">
                  <c:v>0.18638888888888888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25056"/>
        <c:axId val="154126592"/>
      </c:barChart>
      <c:catAx>
        <c:axId val="15412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126592"/>
        <c:crosses val="autoZero"/>
        <c:auto val="1"/>
        <c:lblAlgn val="ctr"/>
        <c:lblOffset val="100"/>
        <c:noMultiLvlLbl val="0"/>
      </c:catAx>
      <c:valAx>
        <c:axId val="154126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1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воды, м Абс.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691712954485336E-2"/>
          <c:y val="0.10827868035482906"/>
          <c:w val="0.8869439459602434"/>
          <c:h val="0.80715877603907105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'Ураков Бугор'!$Y$6:$Y$38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'Ураков Бугор'!$Z$6:$Z$38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20032"/>
        <c:axId val="154221568"/>
      </c:scatterChart>
      <c:valAx>
        <c:axId val="15422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221568"/>
        <c:crosses val="autoZero"/>
        <c:crossBetween val="midCat"/>
      </c:valAx>
      <c:valAx>
        <c:axId val="1542215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4220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744186046511644E-2"/>
          <c:y val="0.16395282235290212"/>
          <c:w val="0.25182428940568474"/>
          <c:h val="6.103937007874015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49</c:v>
          </c:tx>
          <c:trendline>
            <c:trendlineType val="poly"/>
            <c:order val="2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Новоникольское!$A$32:$A$47</c:f>
              <c:numCache>
                <c:formatCode>General</c:formatCode>
                <c:ptCount val="16"/>
                <c:pt idx="0">
                  <c:v>1959</c:v>
                </c:pt>
                <c:pt idx="1">
                  <c:v>1965</c:v>
                </c:pt>
                <c:pt idx="2">
                  <c:v>1970</c:v>
                </c:pt>
                <c:pt idx="3">
                  <c:v>1974</c:v>
                </c:pt>
                <c:pt idx="4">
                  <c:v>1980</c:v>
                </c:pt>
                <c:pt idx="5">
                  <c:v>1986</c:v>
                </c:pt>
                <c:pt idx="6">
                  <c:v>1991</c:v>
                </c:pt>
                <c:pt idx="7">
                  <c:v>1999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2016</c:v>
                </c:pt>
                <c:pt idx="13">
                  <c:v>2020</c:v>
                </c:pt>
                <c:pt idx="14">
                  <c:v>2023</c:v>
                </c:pt>
                <c:pt idx="15">
                  <c:v>2024</c:v>
                </c:pt>
              </c:numCache>
            </c:numRef>
          </c:xVal>
          <c:yVal>
            <c:numRef>
              <c:f>Новоникольское!$F$32:$F$47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35.099999999999966</c:v>
                </c:pt>
                <c:pt idx="2">
                  <c:v>63</c:v>
                </c:pt>
                <c:pt idx="3">
                  <c:v>84.100000000000023</c:v>
                </c:pt>
                <c:pt idx="4">
                  <c:v>110.89999999999998</c:v>
                </c:pt>
                <c:pt idx="5">
                  <c:v>139.5</c:v>
                </c:pt>
                <c:pt idx="6">
                  <c:v>170.26</c:v>
                </c:pt>
                <c:pt idx="7">
                  <c:v>213.24999999999997</c:v>
                </c:pt>
                <c:pt idx="8">
                  <c:v>245.64</c:v>
                </c:pt>
                <c:pt idx="9">
                  <c:v>260.49</c:v>
                </c:pt>
                <c:pt idx="10">
                  <c:v>266.2</c:v>
                </c:pt>
                <c:pt idx="11">
                  <c:v>274.22000000000003</c:v>
                </c:pt>
                <c:pt idx="12">
                  <c:v>285.45000000000005</c:v>
                </c:pt>
                <c:pt idx="13">
                  <c:v>304.55000000000007</c:v>
                </c:pt>
                <c:pt idx="14">
                  <c:v>335.80000000000007</c:v>
                </c:pt>
                <c:pt idx="15">
                  <c:v>338.2700000000001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68736"/>
        <c:axId val="154470272"/>
      </c:scatterChart>
      <c:valAx>
        <c:axId val="15446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470272"/>
        <c:crosses val="autoZero"/>
        <c:crossBetween val="midCat"/>
      </c:valAx>
      <c:valAx>
        <c:axId val="15447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468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50</c:v>
          </c:tx>
          <c:trendline>
            <c:trendlineType val="poly"/>
            <c:order val="2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Новоникольское!$G$32:$G$49</c:f>
              <c:numCache>
                <c:formatCode>0</c:formatCode>
                <c:ptCount val="18"/>
                <c:pt idx="0" formatCode="General">
                  <c:v>1959</c:v>
                </c:pt>
                <c:pt idx="1">
                  <c:v>1965</c:v>
                </c:pt>
                <c:pt idx="2">
                  <c:v>1974</c:v>
                </c:pt>
                <c:pt idx="3">
                  <c:v>1980</c:v>
                </c:pt>
                <c:pt idx="4">
                  <c:v>1986</c:v>
                </c:pt>
                <c:pt idx="5">
                  <c:v>1991</c:v>
                </c:pt>
                <c:pt idx="6">
                  <c:v>1995</c:v>
                </c:pt>
                <c:pt idx="7">
                  <c:v>2003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Новоникольское!$L$32:$L$49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45.900000000000034</c:v>
                </c:pt>
                <c:pt idx="2">
                  <c:v>61</c:v>
                </c:pt>
                <c:pt idx="3">
                  <c:v>87.609999999999985</c:v>
                </c:pt>
                <c:pt idx="4">
                  <c:v>116.05000000000001</c:v>
                </c:pt>
                <c:pt idx="5">
                  <c:v>143.80000000000001</c:v>
                </c:pt>
                <c:pt idx="6">
                  <c:v>162.32</c:v>
                </c:pt>
                <c:pt idx="7">
                  <c:v>182.29000000000002</c:v>
                </c:pt>
                <c:pt idx="8">
                  <c:v>196.22</c:v>
                </c:pt>
                <c:pt idx="9">
                  <c:v>208.03</c:v>
                </c:pt>
                <c:pt idx="10">
                  <c:v>211.1</c:v>
                </c:pt>
                <c:pt idx="11">
                  <c:v>214.68</c:v>
                </c:pt>
                <c:pt idx="12">
                  <c:v>215.48</c:v>
                </c:pt>
                <c:pt idx="13">
                  <c:v>227.17000000000002</c:v>
                </c:pt>
                <c:pt idx="14">
                  <c:v>241.86</c:v>
                </c:pt>
                <c:pt idx="15">
                  <c:v>247.25</c:v>
                </c:pt>
                <c:pt idx="16">
                  <c:v>258.11</c:v>
                </c:pt>
                <c:pt idx="17">
                  <c:v>259.38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03808"/>
        <c:axId val="154509696"/>
      </c:scatterChart>
      <c:valAx>
        <c:axId val="15450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509696"/>
        <c:crosses val="autoZero"/>
        <c:crossBetween val="midCat"/>
      </c:valAx>
      <c:valAx>
        <c:axId val="15450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503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Профиль51</c:v>
          </c:tx>
          <c:trendline>
            <c:trendlineType val="poly"/>
            <c:order val="2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Новоникольское!$M$32:$M$50</c:f>
              <c:numCache>
                <c:formatCode>0.00</c:formatCode>
                <c:ptCount val="19"/>
                <c:pt idx="0" formatCode="General">
                  <c:v>1959</c:v>
                </c:pt>
                <c:pt idx="1">
                  <c:v>1965</c:v>
                </c:pt>
                <c:pt idx="2">
                  <c:v>1970</c:v>
                </c:pt>
                <c:pt idx="3">
                  <c:v>1974</c:v>
                </c:pt>
                <c:pt idx="4">
                  <c:v>1980</c:v>
                </c:pt>
                <c:pt idx="5">
                  <c:v>1986</c:v>
                </c:pt>
                <c:pt idx="6">
                  <c:v>1991</c:v>
                </c:pt>
                <c:pt idx="7">
                  <c:v>1995</c:v>
                </c:pt>
                <c:pt idx="8">
                  <c:v>1999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2016</c:v>
                </c:pt>
                <c:pt idx="15">
                  <c:v>2019</c:v>
                </c:pt>
                <c:pt idx="16">
                  <c:v>2020</c:v>
                </c:pt>
                <c:pt idx="17">
                  <c:v>2023</c:v>
                </c:pt>
                <c:pt idx="18">
                  <c:v>2024</c:v>
                </c:pt>
              </c:numCache>
            </c:numRef>
          </c:xVal>
          <c:yVal>
            <c:numRef>
              <c:f>Новоникольское!$R$32:$R$50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49</c:v>
                </c:pt>
                <c:pt idx="2">
                  <c:v>78</c:v>
                </c:pt>
                <c:pt idx="3">
                  <c:v>105.99999999999997</c:v>
                </c:pt>
                <c:pt idx="4">
                  <c:v>134.39999999999998</c:v>
                </c:pt>
                <c:pt idx="5">
                  <c:v>160.79999999999995</c:v>
                </c:pt>
                <c:pt idx="6">
                  <c:v>184.83999999999997</c:v>
                </c:pt>
                <c:pt idx="7">
                  <c:v>203.75999999999996</c:v>
                </c:pt>
                <c:pt idx="8">
                  <c:v>222.16999999999996</c:v>
                </c:pt>
                <c:pt idx="9">
                  <c:v>254.19999999999996</c:v>
                </c:pt>
                <c:pt idx="10">
                  <c:v>267.27999999999997</c:v>
                </c:pt>
                <c:pt idx="11">
                  <c:v>270.79999999999995</c:v>
                </c:pt>
                <c:pt idx="12">
                  <c:v>273.47999999999996</c:v>
                </c:pt>
                <c:pt idx="13">
                  <c:v>275.36999999999995</c:v>
                </c:pt>
                <c:pt idx="14">
                  <c:v>285.75999999999993</c:v>
                </c:pt>
                <c:pt idx="15">
                  <c:v>298.07999999999993</c:v>
                </c:pt>
                <c:pt idx="16">
                  <c:v>302.82999999999993</c:v>
                </c:pt>
                <c:pt idx="17">
                  <c:v>310.56999999999994</c:v>
                </c:pt>
                <c:pt idx="18">
                  <c:v>314.00999999999993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01280"/>
        <c:axId val="154802816"/>
      </c:scatterChart>
      <c:valAx>
        <c:axId val="15480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802816"/>
        <c:crosses val="autoZero"/>
        <c:crossBetween val="midCat"/>
      </c:valAx>
      <c:valAx>
        <c:axId val="15480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8012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49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Новоникольское!$F$4:$F$24</c:f>
              <c:numCache>
                <c:formatCode>0.00</c:formatCode>
                <c:ptCount val="21"/>
                <c:pt idx="2">
                  <c:v>7.3671650373777959</c:v>
                </c:pt>
                <c:pt idx="3">
                  <c:v>5.5953296703296775</c:v>
                </c:pt>
                <c:pt idx="4">
                  <c:v>5.278615490061692</c:v>
                </c:pt>
                <c:pt idx="5">
                  <c:v>4.2646956521739057</c:v>
                </c:pt>
                <c:pt idx="6">
                  <c:v>4.7710237659963477</c:v>
                </c:pt>
                <c:pt idx="7">
                  <c:v>6.1961368653421616</c:v>
                </c:pt>
                <c:pt idx="9">
                  <c:v>5.4559631432545181</c:v>
                </c:pt>
                <c:pt idx="11">
                  <c:v>4.578756777691714</c:v>
                </c:pt>
                <c:pt idx="13">
                  <c:v>2.6415082382762893</c:v>
                </c:pt>
                <c:pt idx="15">
                  <c:v>4.4353030303030359</c:v>
                </c:pt>
                <c:pt idx="16">
                  <c:v>4.2725363825363791</c:v>
                </c:pt>
                <c:pt idx="18">
                  <c:v>4.2086694762191437</c:v>
                </c:pt>
                <c:pt idx="19">
                  <c:v>3.8340336134453783</c:v>
                </c:pt>
                <c:pt idx="20">
                  <c:v>2.683184523809524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24064"/>
        <c:axId val="154834048"/>
      </c:barChart>
      <c:catAx>
        <c:axId val="1548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834048"/>
        <c:crosses val="autoZero"/>
        <c:auto val="1"/>
        <c:lblAlgn val="ctr"/>
        <c:lblOffset val="100"/>
        <c:noMultiLvlLbl val="0"/>
      </c:catAx>
      <c:valAx>
        <c:axId val="1548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82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897676969483286E-2"/>
          <c:y val="0.15245492411274678"/>
          <c:w val="0.86395306929917337"/>
          <c:h val="0.75677821522309707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Новоникольское!$X$4:$X$37</c:f>
              <c:numCache>
                <c:formatCode>General</c:formatCode>
                <c:ptCount val="34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</c:numCache>
            </c:numRef>
          </c:xVal>
          <c:yVal>
            <c:numRef>
              <c:f>Новоникольское!$Y$4:$Y$37</c:f>
              <c:numCache>
                <c:formatCode>0.00</c:formatCode>
                <c:ptCount val="34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2">
                  <c:v>14.79</c:v>
                </c:pt>
                <c:pt idx="23">
                  <c:v>14.73</c:v>
                </c:pt>
                <c:pt idx="24">
                  <c:v>14.705</c:v>
                </c:pt>
                <c:pt idx="25">
                  <c:v>14.365</c:v>
                </c:pt>
                <c:pt idx="26">
                  <c:v>14.405000000000001</c:v>
                </c:pt>
                <c:pt idx="27">
                  <c:v>14.625</c:v>
                </c:pt>
                <c:pt idx="28">
                  <c:v>14.755000000000001</c:v>
                </c:pt>
                <c:pt idx="29">
                  <c:v>14.52</c:v>
                </c:pt>
                <c:pt idx="30">
                  <c:v>14.55</c:v>
                </c:pt>
                <c:pt idx="31">
                  <c:v>14.785</c:v>
                </c:pt>
                <c:pt idx="32">
                  <c:v>14.78</c:v>
                </c:pt>
                <c:pt idx="33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99808"/>
        <c:axId val="154601344"/>
      </c:scatterChart>
      <c:valAx>
        <c:axId val="1545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01344"/>
        <c:crosses val="autoZero"/>
        <c:crossBetween val="midCat"/>
      </c:valAx>
      <c:valAx>
        <c:axId val="1546013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459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388594944150501"/>
          <c:y val="0.16465964852219556"/>
          <c:w val="0.28646678424456201"/>
          <c:h val="6.5517802122560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50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Новоникольское!$K$4:$K$24</c:f>
              <c:numCache>
                <c:formatCode>General</c:formatCode>
                <c:ptCount val="21"/>
                <c:pt idx="2" formatCode="0.00">
                  <c:v>9.6339850488786727</c:v>
                </c:pt>
                <c:pt idx="4" formatCode="0.00">
                  <c:v>3.7775873886223352</c:v>
                </c:pt>
                <c:pt idx="5" formatCode="0.00">
                  <c:v>4.2344608695652148</c:v>
                </c:pt>
                <c:pt idx="6" formatCode="0.00">
                  <c:v>4.7443327239488164</c:v>
                </c:pt>
                <c:pt idx="7" formatCode="0.00">
                  <c:v>5.5898178807947021</c:v>
                </c:pt>
                <c:pt idx="8" formatCode="0.00">
                  <c:v>4.9449890270665646</c:v>
                </c:pt>
                <c:pt idx="10" formatCode="0.00">
                  <c:v>2.4945414099931589</c:v>
                </c:pt>
                <c:pt idx="11" formatCode="0.00">
                  <c:v>4.3494011976047844</c:v>
                </c:pt>
                <c:pt idx="12" formatCode="0.00">
                  <c:v>4.2137341153470187</c:v>
                </c:pt>
                <c:pt idx="13" formatCode="0.00">
                  <c:v>1.4202154626108967</c:v>
                </c:pt>
                <c:pt idx="14" formatCode="0.00">
                  <c:v>3.4572031662269249</c:v>
                </c:pt>
                <c:pt idx="15" formatCode="0.00">
                  <c:v>1.0391459074732874</c:v>
                </c:pt>
                <c:pt idx="16" formatCode="0.00">
                  <c:v>4.4475467775467825</c:v>
                </c:pt>
                <c:pt idx="17" formatCode="0.00">
                  <c:v>4.1308551617873643</c:v>
                </c:pt>
                <c:pt idx="18" formatCode="0.00">
                  <c:v>5.4345454545454555</c:v>
                </c:pt>
                <c:pt idx="19" formatCode="0.00">
                  <c:v>3.7011204481792714</c:v>
                </c:pt>
                <c:pt idx="20" formatCode="0.00">
                  <c:v>1.3796130952380952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55360"/>
        <c:axId val="154657152"/>
      </c:barChart>
      <c:catAx>
        <c:axId val="15465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57152"/>
        <c:crosses val="autoZero"/>
        <c:auto val="1"/>
        <c:lblAlgn val="ctr"/>
        <c:lblOffset val="100"/>
        <c:noMultiLvlLbl val="0"/>
      </c:catAx>
      <c:valAx>
        <c:axId val="15465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6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51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Новоникольское!$P$4:$P$24</c:f>
              <c:numCache>
                <c:formatCode>General</c:formatCode>
                <c:ptCount val="21"/>
                <c:pt idx="2" formatCode="0.00">
                  <c:v>10.284646348476135</c:v>
                </c:pt>
                <c:pt idx="3" formatCode="0.00">
                  <c:v>5.8159340659340657</c:v>
                </c:pt>
                <c:pt idx="4" formatCode="0.00">
                  <c:v>7.0047978067169216</c:v>
                </c:pt>
                <c:pt idx="5" formatCode="0.00">
                  <c:v>4.5193043478260879</c:v>
                </c:pt>
                <c:pt idx="6" formatCode="0.00">
                  <c:v>4.4040219378427743</c:v>
                </c:pt>
                <c:pt idx="7" formatCode="0.00">
                  <c:v>4.8424944812362076</c:v>
                </c:pt>
                <c:pt idx="8" formatCode="0.00">
                  <c:v>5.0517922457937052</c:v>
                </c:pt>
                <c:pt idx="9" formatCode="0.00">
                  <c:v>4.45304837640822</c:v>
                </c:pt>
                <c:pt idx="11" formatCode="0.00">
                  <c:v>4.5278659953524398</c:v>
                </c:pt>
                <c:pt idx="12" formatCode="0.00">
                  <c:v>4.6668621700879767</c:v>
                </c:pt>
                <c:pt idx="13" formatCode="0.00">
                  <c:v>1.6283903675538705</c:v>
                </c:pt>
                <c:pt idx="14" formatCode="0.00">
                  <c:v>2.5880738786279611</c:v>
                </c:pt>
                <c:pt idx="15" formatCode="0.00">
                  <c:v>2.454982206405695</c:v>
                </c:pt>
                <c:pt idx="16" formatCode="0.00">
                  <c:v>3.952952182952183</c:v>
                </c:pt>
                <c:pt idx="17" formatCode="0.00">
                  <c:v>3.464406779661017</c:v>
                </c:pt>
                <c:pt idx="18" formatCode="0.00">
                  <c:v>4.7892561983471076</c:v>
                </c:pt>
                <c:pt idx="19" formatCode="0.00">
                  <c:v>2.6378151260504201</c:v>
                </c:pt>
                <c:pt idx="20" formatCode="0.00">
                  <c:v>3.4306010928961745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69440"/>
        <c:axId val="154670976"/>
      </c:barChart>
      <c:catAx>
        <c:axId val="1546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70976"/>
        <c:crosses val="autoZero"/>
        <c:auto val="1"/>
        <c:lblAlgn val="ctr"/>
        <c:lblOffset val="100"/>
        <c:noMultiLvlLbl val="0"/>
      </c:catAx>
      <c:valAx>
        <c:axId val="15467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6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7" Type="http://schemas.openxmlformats.org/officeDocument/2006/relationships/chart" Target="../charts/chart60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6" Type="http://schemas.openxmlformats.org/officeDocument/2006/relationships/chart" Target="../charts/chart59.xml"/><Relationship Id="rId5" Type="http://schemas.openxmlformats.org/officeDocument/2006/relationships/chart" Target="../charts/chart58.xml"/><Relationship Id="rId4" Type="http://schemas.openxmlformats.org/officeDocument/2006/relationships/chart" Target="../charts/chart5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61</xdr:row>
      <xdr:rowOff>71437</xdr:rowOff>
    </xdr:from>
    <xdr:to>
      <xdr:col>7</xdr:col>
      <xdr:colOff>219075</xdr:colOff>
      <xdr:row>75</xdr:row>
      <xdr:rowOff>147637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61</xdr:row>
      <xdr:rowOff>185737</xdr:rowOff>
    </xdr:from>
    <xdr:to>
      <xdr:col>15</xdr:col>
      <xdr:colOff>47625</xdr:colOff>
      <xdr:row>76</xdr:row>
      <xdr:rowOff>71437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62</xdr:row>
      <xdr:rowOff>23812</xdr:rowOff>
    </xdr:from>
    <xdr:to>
      <xdr:col>23</xdr:col>
      <xdr:colOff>47625</xdr:colOff>
      <xdr:row>76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304800</xdr:colOff>
      <xdr:row>62</xdr:row>
      <xdr:rowOff>23812</xdr:rowOff>
    </xdr:from>
    <xdr:to>
      <xdr:col>31</xdr:col>
      <xdr:colOff>0</xdr:colOff>
      <xdr:row>76</xdr:row>
      <xdr:rowOff>100012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323850</xdr:colOff>
      <xdr:row>1</xdr:row>
      <xdr:rowOff>161924</xdr:rowOff>
    </xdr:from>
    <xdr:to>
      <xdr:col>38</xdr:col>
      <xdr:colOff>190500</xdr:colOff>
      <xdr:row>20</xdr:row>
      <xdr:rowOff>152399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476249</xdr:colOff>
      <xdr:row>1</xdr:row>
      <xdr:rowOff>171449</xdr:rowOff>
    </xdr:from>
    <xdr:to>
      <xdr:col>47</xdr:col>
      <xdr:colOff>447674</xdr:colOff>
      <xdr:row>21</xdr:row>
      <xdr:rowOff>19050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323850</xdr:colOff>
      <xdr:row>21</xdr:row>
      <xdr:rowOff>152399</xdr:rowOff>
    </xdr:from>
    <xdr:to>
      <xdr:col>38</xdr:col>
      <xdr:colOff>200025</xdr:colOff>
      <xdr:row>39</xdr:row>
      <xdr:rowOff>180975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304799</xdr:colOff>
      <xdr:row>40</xdr:row>
      <xdr:rowOff>190499</xdr:rowOff>
    </xdr:from>
    <xdr:to>
      <xdr:col>38</xdr:col>
      <xdr:colOff>180974</xdr:colOff>
      <xdr:row>58</xdr:row>
      <xdr:rowOff>114300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400050</xdr:colOff>
      <xdr:row>59</xdr:row>
      <xdr:rowOff>180974</xdr:rowOff>
    </xdr:from>
    <xdr:to>
      <xdr:col>41</xdr:col>
      <xdr:colOff>171450</xdr:colOff>
      <xdr:row>80</xdr:row>
      <xdr:rowOff>19050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4762</xdr:rowOff>
    </xdr:from>
    <xdr:to>
      <xdr:col>7</xdr:col>
      <xdr:colOff>123825</xdr:colOff>
      <xdr:row>73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59</xdr:row>
      <xdr:rowOff>80962</xdr:rowOff>
    </xdr:from>
    <xdr:to>
      <xdr:col>14</xdr:col>
      <xdr:colOff>581025</xdr:colOff>
      <xdr:row>73</xdr:row>
      <xdr:rowOff>157162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59</xdr:row>
      <xdr:rowOff>100012</xdr:rowOff>
    </xdr:from>
    <xdr:to>
      <xdr:col>22</xdr:col>
      <xdr:colOff>447675</xdr:colOff>
      <xdr:row>73</xdr:row>
      <xdr:rowOff>176212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200024</xdr:colOff>
      <xdr:row>2</xdr:row>
      <xdr:rowOff>57150</xdr:rowOff>
    </xdr:from>
    <xdr:to>
      <xdr:col>34</xdr:col>
      <xdr:colOff>76199</xdr:colOff>
      <xdr:row>22</xdr:row>
      <xdr:rowOff>57150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2</xdr:row>
      <xdr:rowOff>76199</xdr:rowOff>
    </xdr:from>
    <xdr:to>
      <xdr:col>43</xdr:col>
      <xdr:colOff>342900</xdr:colOff>
      <xdr:row>21</xdr:row>
      <xdr:rowOff>180974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190499</xdr:colOff>
      <xdr:row>23</xdr:row>
      <xdr:rowOff>66674</xdr:rowOff>
    </xdr:from>
    <xdr:to>
      <xdr:col>34</xdr:col>
      <xdr:colOff>66675</xdr:colOff>
      <xdr:row>43</xdr:row>
      <xdr:rowOff>161925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238125</xdr:colOff>
      <xdr:row>44</xdr:row>
      <xdr:rowOff>161925</xdr:rowOff>
    </xdr:from>
    <xdr:to>
      <xdr:col>34</xdr:col>
      <xdr:colOff>114301</xdr:colOff>
      <xdr:row>65</xdr:row>
      <xdr:rowOff>66676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60</xdr:row>
      <xdr:rowOff>185737</xdr:rowOff>
    </xdr:from>
    <xdr:to>
      <xdr:col>7</xdr:col>
      <xdr:colOff>200025</xdr:colOff>
      <xdr:row>75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61</xdr:row>
      <xdr:rowOff>14287</xdr:rowOff>
    </xdr:from>
    <xdr:to>
      <xdr:col>15</xdr:col>
      <xdr:colOff>76200</xdr:colOff>
      <xdr:row>75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61</xdr:row>
      <xdr:rowOff>23812</xdr:rowOff>
    </xdr:from>
    <xdr:to>
      <xdr:col>22</xdr:col>
      <xdr:colOff>400050</xdr:colOff>
      <xdr:row>75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285750</xdr:colOff>
      <xdr:row>4</xdr:row>
      <xdr:rowOff>66674</xdr:rowOff>
    </xdr:from>
    <xdr:to>
      <xdr:col>34</xdr:col>
      <xdr:colOff>342900</xdr:colOff>
      <xdr:row>23</xdr:row>
      <xdr:rowOff>19049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266700</xdr:colOff>
      <xdr:row>24</xdr:row>
      <xdr:rowOff>9525</xdr:rowOff>
    </xdr:from>
    <xdr:to>
      <xdr:col>34</xdr:col>
      <xdr:colOff>323850</xdr:colOff>
      <xdr:row>42</xdr:row>
      <xdr:rowOff>152400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257175</xdr:colOff>
      <xdr:row>43</xdr:row>
      <xdr:rowOff>142875</xdr:rowOff>
    </xdr:from>
    <xdr:to>
      <xdr:col>34</xdr:col>
      <xdr:colOff>314325</xdr:colOff>
      <xdr:row>62</xdr:row>
      <xdr:rowOff>95250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142874</xdr:colOff>
      <xdr:row>4</xdr:row>
      <xdr:rowOff>114300</xdr:rowOff>
    </xdr:from>
    <xdr:to>
      <xdr:col>44</xdr:col>
      <xdr:colOff>257175</xdr:colOff>
      <xdr:row>23</xdr:row>
      <xdr:rowOff>38100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65</xdr:row>
      <xdr:rowOff>4762</xdr:rowOff>
    </xdr:from>
    <xdr:to>
      <xdr:col>7</xdr:col>
      <xdr:colOff>171450</xdr:colOff>
      <xdr:row>79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65</xdr:row>
      <xdr:rowOff>33337</xdr:rowOff>
    </xdr:from>
    <xdr:to>
      <xdr:col>15</xdr:col>
      <xdr:colOff>209550</xdr:colOff>
      <xdr:row>79</xdr:row>
      <xdr:rowOff>109537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533400</xdr:colOff>
      <xdr:row>65</xdr:row>
      <xdr:rowOff>52387</xdr:rowOff>
    </xdr:from>
    <xdr:to>
      <xdr:col>23</xdr:col>
      <xdr:colOff>228600</xdr:colOff>
      <xdr:row>79</xdr:row>
      <xdr:rowOff>128587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171449</xdr:colOff>
      <xdr:row>2</xdr:row>
      <xdr:rowOff>123822</xdr:rowOff>
    </xdr:from>
    <xdr:to>
      <xdr:col>31</xdr:col>
      <xdr:colOff>85725</xdr:colOff>
      <xdr:row>25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247650</xdr:colOff>
      <xdr:row>2</xdr:row>
      <xdr:rowOff>85725</xdr:rowOff>
    </xdr:from>
    <xdr:to>
      <xdr:col>41</xdr:col>
      <xdr:colOff>19050</xdr:colOff>
      <xdr:row>25</xdr:row>
      <xdr:rowOff>28575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142875</xdr:colOff>
      <xdr:row>26</xdr:row>
      <xdr:rowOff>38100</xdr:rowOff>
    </xdr:from>
    <xdr:to>
      <xdr:col>31</xdr:col>
      <xdr:colOff>57151</xdr:colOff>
      <xdr:row>48</xdr:row>
      <xdr:rowOff>104778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400050</xdr:colOff>
      <xdr:row>49</xdr:row>
      <xdr:rowOff>47625</xdr:rowOff>
    </xdr:from>
    <xdr:to>
      <xdr:col>33</xdr:col>
      <xdr:colOff>314326</xdr:colOff>
      <xdr:row>71</xdr:row>
      <xdr:rowOff>114303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60</xdr:row>
      <xdr:rowOff>4762</xdr:rowOff>
    </xdr:from>
    <xdr:to>
      <xdr:col>8</xdr:col>
      <xdr:colOff>47625</xdr:colOff>
      <xdr:row>74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59</xdr:row>
      <xdr:rowOff>138112</xdr:rowOff>
    </xdr:from>
    <xdr:to>
      <xdr:col>15</xdr:col>
      <xdr:colOff>600075</xdr:colOff>
      <xdr:row>74</xdr:row>
      <xdr:rowOff>23812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304800</xdr:colOff>
      <xdr:row>59</xdr:row>
      <xdr:rowOff>147637</xdr:rowOff>
    </xdr:from>
    <xdr:to>
      <xdr:col>24</xdr:col>
      <xdr:colOff>0</xdr:colOff>
      <xdr:row>74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76</xdr:row>
      <xdr:rowOff>28575</xdr:rowOff>
    </xdr:from>
    <xdr:to>
      <xdr:col>24</xdr:col>
      <xdr:colOff>0</xdr:colOff>
      <xdr:row>90</xdr:row>
      <xdr:rowOff>23812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66674</xdr:colOff>
      <xdr:row>75</xdr:row>
      <xdr:rowOff>138111</xdr:rowOff>
    </xdr:from>
    <xdr:to>
      <xdr:col>8</xdr:col>
      <xdr:colOff>47624</xdr:colOff>
      <xdr:row>92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142875</xdr:colOff>
      <xdr:row>2</xdr:row>
      <xdr:rowOff>19049</xdr:rowOff>
    </xdr:from>
    <xdr:to>
      <xdr:col>31</xdr:col>
      <xdr:colOff>200025</xdr:colOff>
      <xdr:row>21</xdr:row>
      <xdr:rowOff>104775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561975</xdr:colOff>
      <xdr:row>2</xdr:row>
      <xdr:rowOff>0</xdr:rowOff>
    </xdr:from>
    <xdr:to>
      <xdr:col>40</xdr:col>
      <xdr:colOff>447675</xdr:colOff>
      <xdr:row>21</xdr:row>
      <xdr:rowOff>114300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123825</xdr:colOff>
      <xdr:row>22</xdr:row>
      <xdr:rowOff>114300</xdr:rowOff>
    </xdr:from>
    <xdr:to>
      <xdr:col>31</xdr:col>
      <xdr:colOff>180975</xdr:colOff>
      <xdr:row>42</xdr:row>
      <xdr:rowOff>9526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609599</xdr:colOff>
      <xdr:row>43</xdr:row>
      <xdr:rowOff>190499</xdr:rowOff>
    </xdr:from>
    <xdr:to>
      <xdr:col>34</xdr:col>
      <xdr:colOff>561974</xdr:colOff>
      <xdr:row>67</xdr:row>
      <xdr:rowOff>9525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61</xdr:row>
      <xdr:rowOff>33337</xdr:rowOff>
    </xdr:from>
    <xdr:to>
      <xdr:col>7</xdr:col>
      <xdr:colOff>142875</xdr:colOff>
      <xdr:row>75</xdr:row>
      <xdr:rowOff>109537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61</xdr:row>
      <xdr:rowOff>80962</xdr:rowOff>
    </xdr:from>
    <xdr:to>
      <xdr:col>14</xdr:col>
      <xdr:colOff>581025</xdr:colOff>
      <xdr:row>75</xdr:row>
      <xdr:rowOff>157162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61</xdr:row>
      <xdr:rowOff>71437</xdr:rowOff>
    </xdr:from>
    <xdr:to>
      <xdr:col>22</xdr:col>
      <xdr:colOff>438150</xdr:colOff>
      <xdr:row>75</xdr:row>
      <xdr:rowOff>147637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190499</xdr:colOff>
      <xdr:row>2</xdr:row>
      <xdr:rowOff>104774</xdr:rowOff>
    </xdr:from>
    <xdr:to>
      <xdr:col>31</xdr:col>
      <xdr:colOff>228600</xdr:colOff>
      <xdr:row>21</xdr:row>
      <xdr:rowOff>38099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209550</xdr:colOff>
      <xdr:row>22</xdr:row>
      <xdr:rowOff>85725</xdr:rowOff>
    </xdr:from>
    <xdr:to>
      <xdr:col>31</xdr:col>
      <xdr:colOff>247651</xdr:colOff>
      <xdr:row>41</xdr:row>
      <xdr:rowOff>19050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104775</xdr:colOff>
      <xdr:row>42</xdr:row>
      <xdr:rowOff>104775</xdr:rowOff>
    </xdr:from>
    <xdr:to>
      <xdr:col>31</xdr:col>
      <xdr:colOff>142876</xdr:colOff>
      <xdr:row>61</xdr:row>
      <xdr:rowOff>38100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609599</xdr:colOff>
      <xdr:row>2</xdr:row>
      <xdr:rowOff>123825</xdr:rowOff>
    </xdr:from>
    <xdr:to>
      <xdr:col>40</xdr:col>
      <xdr:colOff>571500</xdr:colOff>
      <xdr:row>21</xdr:row>
      <xdr:rowOff>28575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47</xdr:row>
      <xdr:rowOff>80962</xdr:rowOff>
    </xdr:from>
    <xdr:to>
      <xdr:col>8</xdr:col>
      <xdr:colOff>123825</xdr:colOff>
      <xdr:row>61</xdr:row>
      <xdr:rowOff>157162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314325</xdr:colOff>
      <xdr:row>47</xdr:row>
      <xdr:rowOff>71437</xdr:rowOff>
    </xdr:from>
    <xdr:to>
      <xdr:col>16</xdr:col>
      <xdr:colOff>9525</xdr:colOff>
      <xdr:row>61</xdr:row>
      <xdr:rowOff>147637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200025</xdr:colOff>
      <xdr:row>47</xdr:row>
      <xdr:rowOff>71437</xdr:rowOff>
    </xdr:from>
    <xdr:to>
      <xdr:col>23</xdr:col>
      <xdr:colOff>504825</xdr:colOff>
      <xdr:row>61</xdr:row>
      <xdr:rowOff>147637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180975</xdr:colOff>
      <xdr:row>1</xdr:row>
      <xdr:rowOff>95249</xdr:rowOff>
    </xdr:from>
    <xdr:to>
      <xdr:col>37</xdr:col>
      <xdr:colOff>390525</xdr:colOff>
      <xdr:row>19</xdr:row>
      <xdr:rowOff>85724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114299</xdr:colOff>
      <xdr:row>1</xdr:row>
      <xdr:rowOff>95250</xdr:rowOff>
    </xdr:from>
    <xdr:to>
      <xdr:col>46</xdr:col>
      <xdr:colOff>466724</xdr:colOff>
      <xdr:row>19</xdr:row>
      <xdr:rowOff>95250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171450</xdr:colOff>
      <xdr:row>20</xdr:row>
      <xdr:rowOff>104775</xdr:rowOff>
    </xdr:from>
    <xdr:to>
      <xdr:col>37</xdr:col>
      <xdr:colOff>381000</xdr:colOff>
      <xdr:row>38</xdr:row>
      <xdr:rowOff>95250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142875</xdr:colOff>
      <xdr:row>39</xdr:row>
      <xdr:rowOff>133350</xdr:rowOff>
    </xdr:from>
    <xdr:to>
      <xdr:col>37</xdr:col>
      <xdr:colOff>352425</xdr:colOff>
      <xdr:row>57</xdr:row>
      <xdr:rowOff>123825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60</xdr:row>
      <xdr:rowOff>128588</xdr:rowOff>
    </xdr:from>
    <xdr:to>
      <xdr:col>6</xdr:col>
      <xdr:colOff>457200</xdr:colOff>
      <xdr:row>75</xdr:row>
      <xdr:rowOff>9526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695325</xdr:colOff>
      <xdr:row>61</xdr:row>
      <xdr:rowOff>14287</xdr:rowOff>
    </xdr:from>
    <xdr:to>
      <xdr:col>14</xdr:col>
      <xdr:colOff>133350</xdr:colOff>
      <xdr:row>75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57150</xdr:colOff>
      <xdr:row>60</xdr:row>
      <xdr:rowOff>147637</xdr:rowOff>
    </xdr:from>
    <xdr:to>
      <xdr:col>22</xdr:col>
      <xdr:colOff>361950</xdr:colOff>
      <xdr:row>75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209547</xdr:colOff>
      <xdr:row>4</xdr:row>
      <xdr:rowOff>85723</xdr:rowOff>
    </xdr:from>
    <xdr:to>
      <xdr:col>38</xdr:col>
      <xdr:colOff>133350</xdr:colOff>
      <xdr:row>29</xdr:row>
      <xdr:rowOff>180975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180975</xdr:colOff>
      <xdr:row>31</xdr:row>
      <xdr:rowOff>47625</xdr:rowOff>
    </xdr:from>
    <xdr:to>
      <xdr:col>38</xdr:col>
      <xdr:colOff>104778</xdr:colOff>
      <xdr:row>56</xdr:row>
      <xdr:rowOff>142877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152400</xdr:colOff>
      <xdr:row>58</xdr:row>
      <xdr:rowOff>28575</xdr:rowOff>
    </xdr:from>
    <xdr:to>
      <xdr:col>38</xdr:col>
      <xdr:colOff>76203</xdr:colOff>
      <xdr:row>83</xdr:row>
      <xdr:rowOff>123827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438149</xdr:colOff>
      <xdr:row>4</xdr:row>
      <xdr:rowOff>104774</xdr:rowOff>
    </xdr:from>
    <xdr:to>
      <xdr:col>48</xdr:col>
      <xdr:colOff>485774</xdr:colOff>
      <xdr:row>24</xdr:row>
      <xdr:rowOff>57149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147637</xdr:rowOff>
    </xdr:from>
    <xdr:to>
      <xdr:col>6</xdr:col>
      <xdr:colOff>695325</xdr:colOff>
      <xdr:row>69</xdr:row>
      <xdr:rowOff>33337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54</xdr:row>
      <xdr:rowOff>138112</xdr:rowOff>
    </xdr:from>
    <xdr:to>
      <xdr:col>14</xdr:col>
      <xdr:colOff>228600</xdr:colOff>
      <xdr:row>69</xdr:row>
      <xdr:rowOff>23812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400050</xdr:colOff>
      <xdr:row>54</xdr:row>
      <xdr:rowOff>147637</xdr:rowOff>
    </xdr:from>
    <xdr:to>
      <xdr:col>22</xdr:col>
      <xdr:colOff>95250</xdr:colOff>
      <xdr:row>69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428625</xdr:colOff>
      <xdr:row>2</xdr:row>
      <xdr:rowOff>85724</xdr:rowOff>
    </xdr:from>
    <xdr:to>
      <xdr:col>36</xdr:col>
      <xdr:colOff>9525</xdr:colOff>
      <xdr:row>20</xdr:row>
      <xdr:rowOff>133349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295274</xdr:colOff>
      <xdr:row>2</xdr:row>
      <xdr:rowOff>66675</xdr:rowOff>
    </xdr:from>
    <xdr:to>
      <xdr:col>45</xdr:col>
      <xdr:colOff>209549</xdr:colOff>
      <xdr:row>20</xdr:row>
      <xdr:rowOff>142875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428625</xdr:colOff>
      <xdr:row>21</xdr:row>
      <xdr:rowOff>161925</xdr:rowOff>
    </xdr:from>
    <xdr:to>
      <xdr:col>36</xdr:col>
      <xdr:colOff>9525</xdr:colOff>
      <xdr:row>41</xdr:row>
      <xdr:rowOff>19050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438150</xdr:colOff>
      <xdr:row>42</xdr:row>
      <xdr:rowOff>9525</xdr:rowOff>
    </xdr:from>
    <xdr:to>
      <xdr:col>36</xdr:col>
      <xdr:colOff>19050</xdr:colOff>
      <xdr:row>60</xdr:row>
      <xdr:rowOff>57150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workbookViewId="0">
      <selection activeCell="B32" sqref="B32"/>
    </sheetView>
  </sheetViews>
  <sheetFormatPr defaultRowHeight="15" x14ac:dyDescent="0.25"/>
  <cols>
    <col min="2" max="2" width="11.85546875" customWidth="1"/>
    <col min="3" max="3" width="9.140625" customWidth="1"/>
    <col min="7" max="7" width="11" customWidth="1"/>
    <col min="8" max="8" width="10.7109375" customWidth="1"/>
    <col min="12" max="12" width="10.42578125" customWidth="1"/>
    <col min="14" max="14" width="12.7109375" customWidth="1"/>
    <col min="20" max="20" width="11.42578125" customWidth="1"/>
  </cols>
  <sheetData>
    <row r="1" spans="1:28" x14ac:dyDescent="0.25">
      <c r="B1" s="3" t="s">
        <v>0</v>
      </c>
    </row>
    <row r="2" spans="1:28" x14ac:dyDescent="0.25">
      <c r="C2" s="3" t="s">
        <v>1</v>
      </c>
      <c r="H2" s="3" t="s">
        <v>2</v>
      </c>
      <c r="M2" s="3" t="s">
        <v>3</v>
      </c>
      <c r="R2" s="3" t="s">
        <v>4</v>
      </c>
      <c r="Z2" t="s">
        <v>47</v>
      </c>
      <c r="AA2" t="s">
        <v>48</v>
      </c>
    </row>
    <row r="3" spans="1:28" x14ac:dyDescent="0.25">
      <c r="C3" s="3"/>
      <c r="F3" t="s">
        <v>49</v>
      </c>
      <c r="H3" s="3"/>
      <c r="K3" t="s">
        <v>49</v>
      </c>
      <c r="M3" s="3"/>
      <c r="P3" t="s">
        <v>49</v>
      </c>
      <c r="R3" s="3"/>
      <c r="Z3" s="109">
        <v>1986</v>
      </c>
      <c r="AA3" s="4">
        <v>14.350000000000001</v>
      </c>
      <c r="AB3" s="4">
        <v>15.34</v>
      </c>
    </row>
    <row r="4" spans="1:28" x14ac:dyDescent="0.25">
      <c r="A4">
        <v>1987</v>
      </c>
      <c r="B4" s="1">
        <v>31956</v>
      </c>
      <c r="C4" s="5"/>
      <c r="D4" s="4"/>
      <c r="G4" s="3">
        <v>1987</v>
      </c>
      <c r="H4" s="3"/>
      <c r="L4" s="3">
        <v>1987</v>
      </c>
      <c r="M4" s="3"/>
      <c r="Q4" s="3">
        <v>1987</v>
      </c>
      <c r="R4" s="3"/>
      <c r="T4" s="4"/>
      <c r="U4" t="s">
        <v>49</v>
      </c>
      <c r="Z4" s="109">
        <v>1987</v>
      </c>
      <c r="AA4" s="4">
        <v>14.45</v>
      </c>
      <c r="AB4" s="4">
        <v>15.379999999999999</v>
      </c>
    </row>
    <row r="5" spans="1:28" x14ac:dyDescent="0.25">
      <c r="A5">
        <v>1989</v>
      </c>
      <c r="B5" s="1">
        <v>32727</v>
      </c>
      <c r="C5" s="23">
        <v>771</v>
      </c>
      <c r="D5" s="20">
        <v>9.9999999999909051E-3</v>
      </c>
      <c r="E5" s="21">
        <v>365</v>
      </c>
      <c r="F5" s="5">
        <f>E5*D5/C5</f>
        <v>4.7341115434457589E-3</v>
      </c>
      <c r="G5" s="3">
        <v>1989</v>
      </c>
      <c r="H5" s="23">
        <v>771</v>
      </c>
      <c r="I5" s="4">
        <v>0</v>
      </c>
      <c r="J5" s="21">
        <v>365</v>
      </c>
      <c r="K5" s="5">
        <v>8.0000000000001847E-2</v>
      </c>
      <c r="L5" s="3">
        <v>1989</v>
      </c>
      <c r="M5" s="23">
        <v>771</v>
      </c>
      <c r="N5" s="4">
        <v>8.0000000000001847E-2</v>
      </c>
      <c r="O5" s="21">
        <v>365</v>
      </c>
      <c r="P5" s="5">
        <f>O5*N5/M5</f>
        <v>3.787289234760139E-2</v>
      </c>
      <c r="Q5" s="3">
        <v>1989</v>
      </c>
      <c r="R5" s="3"/>
      <c r="T5" s="4"/>
      <c r="U5" s="5"/>
      <c r="Z5" s="109">
        <v>1988</v>
      </c>
      <c r="AA5" s="4">
        <v>14.605</v>
      </c>
      <c r="AB5" s="4">
        <v>15.59</v>
      </c>
    </row>
    <row r="6" spans="1:28" x14ac:dyDescent="0.25">
      <c r="A6">
        <v>1993</v>
      </c>
      <c r="B6" s="1">
        <v>34116</v>
      </c>
      <c r="C6" s="23">
        <v>1389</v>
      </c>
      <c r="D6" s="20">
        <v>6.210000000000008</v>
      </c>
      <c r="E6" s="21">
        <v>365</v>
      </c>
      <c r="F6" s="6">
        <f t="shared" ref="F6:F18" si="0">E6*D6/C6</f>
        <v>1.6318574514038897</v>
      </c>
      <c r="G6" s="3">
        <v>1993</v>
      </c>
      <c r="H6" s="23">
        <v>1389</v>
      </c>
      <c r="I6" s="4">
        <v>0.30000000000000071</v>
      </c>
      <c r="J6" s="21">
        <v>365</v>
      </c>
      <c r="K6" s="5">
        <v>0.40999999999999659</v>
      </c>
      <c r="L6" s="3">
        <v>1993</v>
      </c>
      <c r="M6" s="23">
        <v>1389</v>
      </c>
      <c r="N6" s="4">
        <v>0.40999999999999659</v>
      </c>
      <c r="O6" s="21">
        <v>365</v>
      </c>
      <c r="P6" s="5">
        <f t="shared" ref="P6:P18" si="1">O6*N6/M6</f>
        <v>0.10773938084953114</v>
      </c>
      <c r="Q6" s="3">
        <v>1993</v>
      </c>
      <c r="R6" s="23">
        <v>785</v>
      </c>
      <c r="S6" s="4">
        <v>5.3299999999999983</v>
      </c>
      <c r="T6" s="21">
        <v>365</v>
      </c>
      <c r="U6" s="6">
        <f t="shared" ref="U6:U16" si="2">T6*S6/R6</f>
        <v>2.478280254777069</v>
      </c>
      <c r="Z6" s="109">
        <v>1989</v>
      </c>
      <c r="AA6" s="4">
        <v>14.335000000000001</v>
      </c>
      <c r="AB6" s="4">
        <v>15.23</v>
      </c>
    </row>
    <row r="7" spans="1:28" x14ac:dyDescent="0.25">
      <c r="A7">
        <v>1995</v>
      </c>
      <c r="B7" s="1">
        <v>34901</v>
      </c>
      <c r="C7" s="23">
        <v>785</v>
      </c>
      <c r="D7" s="20">
        <v>4.5799999999999983</v>
      </c>
      <c r="E7" s="21">
        <v>365</v>
      </c>
      <c r="F7" s="6">
        <f t="shared" si="0"/>
        <v>2.1295541401273876</v>
      </c>
      <c r="G7" s="3">
        <v>1995</v>
      </c>
      <c r="H7" s="23">
        <v>785</v>
      </c>
      <c r="I7" s="9">
        <v>0</v>
      </c>
      <c r="J7" s="21">
        <v>365</v>
      </c>
      <c r="K7" s="5"/>
      <c r="L7" s="3">
        <v>1995</v>
      </c>
      <c r="M7" s="23"/>
      <c r="N7" s="4"/>
      <c r="O7" s="21"/>
      <c r="P7" s="5"/>
      <c r="Q7" s="3">
        <v>1995</v>
      </c>
      <c r="R7" s="23">
        <v>84</v>
      </c>
      <c r="S7" s="4">
        <v>1.0000000000005116E-2</v>
      </c>
      <c r="T7" s="21">
        <v>365</v>
      </c>
      <c r="U7" s="5">
        <f t="shared" si="2"/>
        <v>4.3452380952403183E-2</v>
      </c>
      <c r="Z7" s="109">
        <v>1990</v>
      </c>
      <c r="AA7" s="4">
        <v>14.795</v>
      </c>
      <c r="AB7" s="4">
        <v>15.31</v>
      </c>
    </row>
    <row r="8" spans="1:28" x14ac:dyDescent="0.25">
      <c r="A8">
        <v>1995</v>
      </c>
      <c r="B8" s="1">
        <v>34985</v>
      </c>
      <c r="C8" s="23">
        <v>84</v>
      </c>
      <c r="D8" s="20">
        <v>0.42000000000000171</v>
      </c>
      <c r="E8" s="21">
        <v>365</v>
      </c>
      <c r="F8" s="6">
        <f t="shared" si="0"/>
        <v>1.8250000000000075</v>
      </c>
      <c r="G8" s="3">
        <v>1995</v>
      </c>
      <c r="H8" s="23">
        <v>84</v>
      </c>
      <c r="I8" s="9">
        <v>1.9999999999999574E-2</v>
      </c>
      <c r="J8" s="21">
        <v>365</v>
      </c>
      <c r="K8" s="5">
        <v>7.9999999999998295E-2</v>
      </c>
      <c r="L8" s="3">
        <v>1995</v>
      </c>
      <c r="M8" s="23">
        <v>869</v>
      </c>
      <c r="N8" s="4">
        <v>7.9999999999998295E-2</v>
      </c>
      <c r="O8" s="21">
        <v>365</v>
      </c>
      <c r="P8" s="5">
        <f t="shared" si="1"/>
        <v>3.3601841196777192E-2</v>
      </c>
      <c r="Q8" s="3">
        <v>1995</v>
      </c>
      <c r="R8" s="23"/>
      <c r="S8" s="4"/>
      <c r="T8" s="21"/>
      <c r="U8" s="5"/>
      <c r="Z8" s="109">
        <v>1991</v>
      </c>
      <c r="AA8" s="4">
        <v>14.719999999999999</v>
      </c>
      <c r="AB8" s="4">
        <v>16.04</v>
      </c>
    </row>
    <row r="9" spans="1:28" x14ac:dyDescent="0.25">
      <c r="A9">
        <v>1999</v>
      </c>
      <c r="B9" s="1">
        <v>36349</v>
      </c>
      <c r="C9" s="23"/>
      <c r="D9" s="20"/>
      <c r="E9" s="21"/>
      <c r="F9" s="5"/>
      <c r="G9" s="3">
        <v>1999</v>
      </c>
      <c r="H9" s="23">
        <v>1364</v>
      </c>
      <c r="I9" s="9">
        <v>1.3700000000000045</v>
      </c>
      <c r="J9" s="21">
        <v>365</v>
      </c>
      <c r="K9" s="6">
        <v>1.7300000000000004</v>
      </c>
      <c r="L9" s="3">
        <v>1999</v>
      </c>
      <c r="M9" s="23">
        <v>1364</v>
      </c>
      <c r="N9" s="4">
        <v>1.7300000000000004</v>
      </c>
      <c r="O9" s="21">
        <v>365</v>
      </c>
      <c r="P9" s="5">
        <f t="shared" si="1"/>
        <v>0.46293988269794734</v>
      </c>
      <c r="Q9" s="3">
        <v>1999</v>
      </c>
      <c r="R9" s="23"/>
      <c r="S9" s="4"/>
      <c r="T9" s="21"/>
      <c r="U9" s="5"/>
      <c r="Z9" s="109">
        <v>1992</v>
      </c>
      <c r="AA9" s="4">
        <v>14.719999999999999</v>
      </c>
      <c r="AB9" s="4">
        <v>15.21</v>
      </c>
    </row>
    <row r="10" spans="1:28" x14ac:dyDescent="0.25">
      <c r="A10">
        <v>2000</v>
      </c>
      <c r="B10" s="1">
        <v>36715</v>
      </c>
      <c r="C10" s="23">
        <v>1730</v>
      </c>
      <c r="D10" s="20">
        <v>5.1299999999999955</v>
      </c>
      <c r="E10" s="21">
        <v>365</v>
      </c>
      <c r="F10" s="6">
        <f t="shared" si="0"/>
        <v>1.082341040462427</v>
      </c>
      <c r="G10" s="3">
        <v>2000</v>
      </c>
      <c r="H10" s="23">
        <v>366</v>
      </c>
      <c r="I10" s="9">
        <v>1.8099999999999952</v>
      </c>
      <c r="J10" s="21">
        <v>365</v>
      </c>
      <c r="K10" s="5">
        <v>0.52999999999999758</v>
      </c>
      <c r="L10" s="3">
        <v>2000</v>
      </c>
      <c r="M10" s="23">
        <v>366</v>
      </c>
      <c r="N10" s="4">
        <v>0.52999999999999758</v>
      </c>
      <c r="O10" s="21">
        <v>365</v>
      </c>
      <c r="P10" s="5">
        <f t="shared" si="1"/>
        <v>0.52855191256830358</v>
      </c>
      <c r="Q10" s="3">
        <v>2000</v>
      </c>
      <c r="R10" s="23">
        <v>2103</v>
      </c>
      <c r="S10" s="4">
        <v>7.4699999999999989</v>
      </c>
      <c r="T10" s="21">
        <v>365</v>
      </c>
      <c r="U10" s="6">
        <f t="shared" si="2"/>
        <v>1.2965049928673322</v>
      </c>
      <c r="Z10" s="109">
        <v>1993</v>
      </c>
      <c r="AA10" s="4">
        <v>14.635000000000002</v>
      </c>
      <c r="AB10" s="4">
        <v>15.219999999999999</v>
      </c>
    </row>
    <row r="11" spans="1:28" x14ac:dyDescent="0.25">
      <c r="A11">
        <v>2001</v>
      </c>
      <c r="B11" s="1">
        <v>37088</v>
      </c>
      <c r="C11" s="23">
        <v>373</v>
      </c>
      <c r="D11" s="20">
        <v>1.1500000000000057</v>
      </c>
      <c r="E11" s="21">
        <v>365</v>
      </c>
      <c r="F11" s="6">
        <f t="shared" si="0"/>
        <v>1.1253351206434372</v>
      </c>
      <c r="G11" s="3">
        <v>2001</v>
      </c>
      <c r="H11" s="23"/>
      <c r="I11" s="9"/>
      <c r="J11" s="21">
        <v>365</v>
      </c>
      <c r="K11" s="5"/>
      <c r="L11" s="3">
        <v>2001</v>
      </c>
      <c r="M11" s="23"/>
      <c r="N11" s="4"/>
      <c r="O11" s="21"/>
      <c r="P11" s="5"/>
      <c r="Q11" s="3">
        <v>2001</v>
      </c>
      <c r="R11" s="23">
        <v>739</v>
      </c>
      <c r="S11" s="4">
        <v>4.8699999999999974</v>
      </c>
      <c r="T11" s="21">
        <v>365</v>
      </c>
      <c r="U11" s="6">
        <f t="shared" si="2"/>
        <v>2.4053450608930973</v>
      </c>
      <c r="Z11" s="109">
        <v>1994</v>
      </c>
      <c r="AA11" s="4">
        <v>14.655000000000001</v>
      </c>
      <c r="AB11" s="4">
        <v>15.34</v>
      </c>
    </row>
    <row r="12" spans="1:28" x14ac:dyDescent="0.25">
      <c r="A12">
        <v>2003</v>
      </c>
      <c r="B12" s="1">
        <v>37827</v>
      </c>
      <c r="C12" s="23">
        <v>739</v>
      </c>
      <c r="D12" s="20">
        <v>4.1299999999999955</v>
      </c>
      <c r="E12" s="21">
        <v>365</v>
      </c>
      <c r="F12" s="6">
        <f t="shared" si="0"/>
        <v>2.039851150202975</v>
      </c>
      <c r="G12" s="3">
        <v>2003</v>
      </c>
      <c r="H12" s="23">
        <v>1112</v>
      </c>
      <c r="I12" s="9">
        <v>2.6200000000000045</v>
      </c>
      <c r="J12" s="21">
        <v>365</v>
      </c>
      <c r="K12" s="6">
        <v>1.2300000000000004</v>
      </c>
      <c r="L12" s="3">
        <v>2003</v>
      </c>
      <c r="M12" s="23">
        <v>1112</v>
      </c>
      <c r="N12" s="4">
        <v>1.2300000000000004</v>
      </c>
      <c r="O12" s="21">
        <v>365</v>
      </c>
      <c r="P12" s="5">
        <f t="shared" si="1"/>
        <v>0.40373201438848932</v>
      </c>
      <c r="Q12" s="3">
        <v>2003</v>
      </c>
      <c r="R12" s="23">
        <v>363</v>
      </c>
      <c r="S12" s="4">
        <v>0.75</v>
      </c>
      <c r="T12" s="21">
        <v>366</v>
      </c>
      <c r="U12" s="5">
        <f t="shared" si="2"/>
        <v>0.75619834710743805</v>
      </c>
      <c r="Z12" s="109">
        <v>1995</v>
      </c>
      <c r="AA12" s="4">
        <v>14.75</v>
      </c>
      <c r="AB12" s="4">
        <v>15.58</v>
      </c>
    </row>
    <row r="13" spans="1:28" x14ac:dyDescent="0.25">
      <c r="A13">
        <v>2004</v>
      </c>
      <c r="B13" s="1">
        <v>38190</v>
      </c>
      <c r="C13" s="23">
        <v>363</v>
      </c>
      <c r="D13" s="20">
        <v>2.0100000000000051</v>
      </c>
      <c r="E13" s="21">
        <v>366</v>
      </c>
      <c r="F13" s="6">
        <f t="shared" si="0"/>
        <v>2.026611570247939</v>
      </c>
      <c r="G13" s="3">
        <v>2004</v>
      </c>
      <c r="H13" s="23">
        <v>363</v>
      </c>
      <c r="I13" s="9">
        <v>1.0799999999999983</v>
      </c>
      <c r="J13" s="21">
        <v>366</v>
      </c>
      <c r="K13" s="5"/>
      <c r="L13" s="3">
        <v>2004</v>
      </c>
      <c r="M13" s="23"/>
      <c r="N13" s="4"/>
      <c r="O13" s="21"/>
      <c r="P13" s="5"/>
      <c r="Q13" s="3">
        <v>2004</v>
      </c>
      <c r="R13" s="23">
        <v>364</v>
      </c>
      <c r="S13" s="4">
        <v>1.4400000000000013</v>
      </c>
      <c r="T13" s="21">
        <v>365</v>
      </c>
      <c r="U13" s="6">
        <f t="shared" si="2"/>
        <v>1.4439560439560453</v>
      </c>
      <c r="Z13" s="109">
        <v>1996</v>
      </c>
      <c r="AA13" s="4">
        <v>14.524999999999999</v>
      </c>
      <c r="AB13" s="4">
        <v>15.280000000000001</v>
      </c>
    </row>
    <row r="14" spans="1:28" x14ac:dyDescent="0.25">
      <c r="A14">
        <v>2005</v>
      </c>
      <c r="B14" s="1">
        <v>38554</v>
      </c>
      <c r="C14" s="23">
        <v>364</v>
      </c>
      <c r="D14" s="20">
        <v>0.14999999999999858</v>
      </c>
      <c r="E14" s="21">
        <v>365</v>
      </c>
      <c r="F14" s="5">
        <f t="shared" si="0"/>
        <v>0.15041208791208649</v>
      </c>
      <c r="G14" s="3">
        <v>2005</v>
      </c>
      <c r="H14" s="23">
        <v>364</v>
      </c>
      <c r="I14" s="9">
        <v>1.1300000000000008</v>
      </c>
      <c r="J14" s="21">
        <v>365</v>
      </c>
      <c r="K14" s="6">
        <v>1.1099999999999959</v>
      </c>
      <c r="L14" s="3">
        <v>2005</v>
      </c>
      <c r="M14" s="23">
        <v>727</v>
      </c>
      <c r="N14" s="4">
        <v>1.1099999999999959</v>
      </c>
      <c r="O14" s="21">
        <v>365</v>
      </c>
      <c r="P14" s="5">
        <f t="shared" si="1"/>
        <v>0.55729023383768705</v>
      </c>
      <c r="Q14" s="3">
        <v>2005</v>
      </c>
      <c r="R14" s="23">
        <v>367</v>
      </c>
      <c r="S14" s="4">
        <v>1.5199999999999996</v>
      </c>
      <c r="T14" s="21">
        <v>365</v>
      </c>
      <c r="U14" s="6">
        <f t="shared" si="2"/>
        <v>1.5117166212534057</v>
      </c>
      <c r="Z14" s="109">
        <v>1997</v>
      </c>
      <c r="AA14" s="4">
        <v>14.685</v>
      </c>
      <c r="AB14" s="4">
        <v>15.5</v>
      </c>
    </row>
    <row r="15" spans="1:28" x14ac:dyDescent="0.25">
      <c r="A15">
        <v>2006</v>
      </c>
      <c r="B15" s="1">
        <v>38921</v>
      </c>
      <c r="C15" s="23"/>
      <c r="D15" s="20"/>
      <c r="E15" s="21"/>
      <c r="F15" s="5"/>
      <c r="G15" s="3"/>
      <c r="H15" s="23"/>
      <c r="I15" s="9"/>
      <c r="J15" s="21"/>
      <c r="K15" s="5"/>
      <c r="L15" s="3"/>
      <c r="M15" s="23"/>
      <c r="N15" s="4"/>
      <c r="O15" s="21"/>
      <c r="P15" s="5"/>
      <c r="Q15" s="3"/>
      <c r="R15" s="23"/>
      <c r="S15" s="4"/>
      <c r="T15" s="21"/>
      <c r="U15" s="5"/>
      <c r="Z15" s="109">
        <v>1998</v>
      </c>
      <c r="AA15" s="4">
        <v>14.68</v>
      </c>
      <c r="AB15" s="4">
        <v>15.39</v>
      </c>
    </row>
    <row r="16" spans="1:28" x14ac:dyDescent="0.25">
      <c r="A16">
        <v>2006</v>
      </c>
      <c r="B16" s="1">
        <v>38989</v>
      </c>
      <c r="C16" s="23">
        <v>435</v>
      </c>
      <c r="D16" s="20">
        <v>0.64999999999999858</v>
      </c>
      <c r="E16" s="21">
        <v>365</v>
      </c>
      <c r="F16" s="5">
        <f t="shared" si="0"/>
        <v>0.54540229885057356</v>
      </c>
      <c r="G16" s="3">
        <v>2006</v>
      </c>
      <c r="H16" s="23">
        <v>435</v>
      </c>
      <c r="I16" s="9">
        <v>0.10999999999999943</v>
      </c>
      <c r="J16" s="21">
        <v>365</v>
      </c>
      <c r="K16" s="5">
        <v>6.0000000000005826E-2</v>
      </c>
      <c r="L16" s="3">
        <v>2006</v>
      </c>
      <c r="M16" s="23">
        <v>435</v>
      </c>
      <c r="N16" s="4">
        <v>6.0000000000005826E-2</v>
      </c>
      <c r="O16" s="21">
        <v>365</v>
      </c>
      <c r="P16" s="5">
        <f t="shared" si="1"/>
        <v>5.0344827586211782E-2</v>
      </c>
      <c r="Q16" s="3">
        <v>2006</v>
      </c>
      <c r="R16" s="23">
        <v>1091</v>
      </c>
      <c r="S16" s="4">
        <v>1.1400000000000006</v>
      </c>
      <c r="T16" s="21">
        <v>365</v>
      </c>
      <c r="U16" s="5">
        <f t="shared" si="2"/>
        <v>0.38139321723189751</v>
      </c>
      <c r="Z16" s="109">
        <v>1999</v>
      </c>
      <c r="AA16" s="4">
        <v>14.654999999999999</v>
      </c>
      <c r="AB16" s="4">
        <v>15.25</v>
      </c>
    </row>
    <row r="17" spans="1:28" x14ac:dyDescent="0.25">
      <c r="A17">
        <v>2009</v>
      </c>
      <c r="B17" s="1">
        <v>40012</v>
      </c>
      <c r="C17" s="23"/>
      <c r="D17" s="20"/>
      <c r="E17" s="21"/>
      <c r="F17" s="5"/>
      <c r="G17" s="3">
        <v>2009</v>
      </c>
      <c r="H17" s="23">
        <v>1023</v>
      </c>
      <c r="I17" s="9">
        <v>2.0299999999999994</v>
      </c>
      <c r="J17" s="21">
        <v>365</v>
      </c>
      <c r="K17" s="6">
        <v>1.3900000000000006</v>
      </c>
      <c r="L17" s="3">
        <v>2009</v>
      </c>
      <c r="M17" s="23">
        <v>1023</v>
      </c>
      <c r="N17" s="4">
        <v>1.3900000000000006</v>
      </c>
      <c r="O17" s="21">
        <v>365</v>
      </c>
      <c r="P17" s="5">
        <f t="shared" si="1"/>
        <v>0.49594330400782033</v>
      </c>
      <c r="Q17" s="3">
        <v>2009</v>
      </c>
      <c r="R17" s="23">
        <v>74</v>
      </c>
      <c r="S17" s="4">
        <v>0.80000000000000071</v>
      </c>
      <c r="T17" s="21">
        <v>365</v>
      </c>
      <c r="U17" s="6">
        <f>T17*S17/R17</f>
        <v>3.9459459459459496</v>
      </c>
      <c r="Z17" s="109">
        <v>2000</v>
      </c>
      <c r="AA17" s="4">
        <v>14.75</v>
      </c>
      <c r="AB17" s="4">
        <v>15.31</v>
      </c>
    </row>
    <row r="18" spans="1:28" x14ac:dyDescent="0.25">
      <c r="A18">
        <v>2009</v>
      </c>
      <c r="B18" s="1">
        <v>40086</v>
      </c>
      <c r="C18" s="23">
        <v>1097</v>
      </c>
      <c r="D18" s="20">
        <v>2.6899999999999977</v>
      </c>
      <c r="E18" s="21">
        <v>365</v>
      </c>
      <c r="F18" s="5">
        <f t="shared" si="0"/>
        <v>0.89503190519598841</v>
      </c>
      <c r="G18" s="3">
        <v>2010</v>
      </c>
      <c r="H18" s="3"/>
      <c r="I18" s="7"/>
      <c r="J18" s="21">
        <v>365</v>
      </c>
      <c r="K18" s="5">
        <v>0.13999999999999702</v>
      </c>
      <c r="L18" s="3">
        <v>2010</v>
      </c>
      <c r="M18" s="23">
        <v>74</v>
      </c>
      <c r="N18" s="4">
        <v>0.13999999999999702</v>
      </c>
      <c r="O18" s="21">
        <v>365</v>
      </c>
      <c r="P18" s="5">
        <f t="shared" si="1"/>
        <v>0.69054054054052583</v>
      </c>
      <c r="Q18" s="3">
        <v>2010</v>
      </c>
      <c r="R18" s="23"/>
      <c r="T18" s="21"/>
      <c r="Z18" s="109">
        <v>2001</v>
      </c>
      <c r="AA18" s="4">
        <v>14.895</v>
      </c>
      <c r="AB18" s="4">
        <v>15.600000000000001</v>
      </c>
    </row>
    <row r="19" spans="1:28" x14ac:dyDescent="0.25">
      <c r="A19">
        <v>2010</v>
      </c>
      <c r="B19" s="1">
        <v>40382</v>
      </c>
      <c r="C19" s="23"/>
      <c r="D19" s="20"/>
      <c r="E19" s="23"/>
      <c r="F19" s="20"/>
      <c r="J19" s="21"/>
      <c r="M19" s="23"/>
      <c r="O19" s="21"/>
      <c r="R19" s="23"/>
      <c r="T19" s="21"/>
      <c r="Z19" s="109">
        <v>2002</v>
      </c>
      <c r="AA19" s="4">
        <v>14.825000000000001</v>
      </c>
      <c r="AB19" s="4">
        <v>15.3</v>
      </c>
    </row>
    <row r="20" spans="1:28" x14ac:dyDescent="0.25">
      <c r="A20">
        <v>2011</v>
      </c>
      <c r="B20" s="1">
        <v>40801</v>
      </c>
      <c r="C20" s="21"/>
      <c r="E20" s="21"/>
      <c r="F20" s="5"/>
      <c r="G20" s="3">
        <v>2011</v>
      </c>
      <c r="H20">
        <v>419</v>
      </c>
      <c r="I20">
        <v>9.0000000000001634E-2</v>
      </c>
      <c r="J20" s="21">
        <v>365</v>
      </c>
      <c r="K20">
        <f t="shared" ref="K20:K21" si="3">J20*I20/H20</f>
        <v>7.840095465393937E-2</v>
      </c>
      <c r="L20" s="3">
        <v>2011</v>
      </c>
      <c r="M20" s="23">
        <v>419</v>
      </c>
      <c r="N20" s="4">
        <v>0</v>
      </c>
      <c r="O20" s="21">
        <v>365</v>
      </c>
      <c r="P20" s="5">
        <f>O20*N20/M20</f>
        <v>0</v>
      </c>
      <c r="Q20" s="3">
        <v>2011</v>
      </c>
      <c r="R20" s="23">
        <v>419</v>
      </c>
      <c r="S20" s="4">
        <v>0.13000000000000256</v>
      </c>
      <c r="T20" s="21">
        <v>365</v>
      </c>
      <c r="U20" s="5">
        <f>T20*S20/R20</f>
        <v>0.11324582338902371</v>
      </c>
      <c r="Z20" s="109">
        <v>2003</v>
      </c>
      <c r="AA20" s="4">
        <v>14.89</v>
      </c>
      <c r="AB20" s="4">
        <v>15.370000000000001</v>
      </c>
    </row>
    <row r="21" spans="1:28" x14ac:dyDescent="0.25">
      <c r="A21">
        <v>2012</v>
      </c>
      <c r="B21" s="1">
        <v>41196</v>
      </c>
      <c r="C21" s="21"/>
      <c r="D21" s="4"/>
      <c r="E21" s="21"/>
      <c r="F21" s="5"/>
      <c r="G21" s="3">
        <v>2012</v>
      </c>
      <c r="H21">
        <v>395</v>
      </c>
      <c r="I21">
        <v>0</v>
      </c>
      <c r="J21" s="21">
        <v>366</v>
      </c>
      <c r="K21" s="5">
        <f t="shared" si="3"/>
        <v>0</v>
      </c>
      <c r="L21" s="3">
        <v>2012</v>
      </c>
      <c r="M21" s="23"/>
      <c r="N21" s="4"/>
      <c r="O21" s="21"/>
      <c r="P21" s="5"/>
      <c r="Q21" s="3">
        <v>2012</v>
      </c>
      <c r="R21" s="23">
        <v>395</v>
      </c>
      <c r="S21" s="4">
        <v>0.57999999999999829</v>
      </c>
      <c r="T21" s="21">
        <v>366</v>
      </c>
      <c r="U21" s="5">
        <f t="shared" ref="U21:U27" si="4">T21*S21/R21</f>
        <v>0.53741772151898581</v>
      </c>
      <c r="Z21" s="109">
        <v>2004</v>
      </c>
      <c r="AA21" s="4">
        <v>14.805</v>
      </c>
      <c r="AB21" s="4">
        <v>15.32</v>
      </c>
    </row>
    <row r="22" spans="1:28" x14ac:dyDescent="0.25">
      <c r="A22">
        <v>2013</v>
      </c>
      <c r="B22" s="1">
        <v>41465</v>
      </c>
      <c r="C22" s="21">
        <v>664</v>
      </c>
      <c r="D22" s="4">
        <v>0.43000000000000682</v>
      </c>
      <c r="E22" s="21">
        <v>365</v>
      </c>
      <c r="F22" s="5">
        <f>E22*D22/C22</f>
        <v>0.23637048192771459</v>
      </c>
      <c r="G22" s="3">
        <v>2013</v>
      </c>
      <c r="H22">
        <v>269</v>
      </c>
      <c r="I22">
        <v>0.84999999999999964</v>
      </c>
      <c r="J22" s="21">
        <v>365</v>
      </c>
      <c r="K22" s="6">
        <f>J22*I22/H22</f>
        <v>1.1533457249070627</v>
      </c>
      <c r="L22" s="3">
        <v>2013</v>
      </c>
      <c r="M22" s="23">
        <v>664</v>
      </c>
      <c r="N22" s="4">
        <v>0.25</v>
      </c>
      <c r="O22" s="21">
        <v>365</v>
      </c>
      <c r="P22" s="5">
        <f>O22*N22/M22</f>
        <v>0.13742469879518071</v>
      </c>
      <c r="Q22" s="3">
        <v>2013</v>
      </c>
      <c r="R22" s="23">
        <v>269</v>
      </c>
      <c r="S22" s="4">
        <v>0.87000000000000099</v>
      </c>
      <c r="T22" s="21">
        <v>365</v>
      </c>
      <c r="U22" s="6">
        <f t="shared" si="4"/>
        <v>1.180483271375466</v>
      </c>
      <c r="Z22" s="109">
        <v>2005</v>
      </c>
      <c r="AA22" s="4">
        <v>14.93</v>
      </c>
      <c r="AB22" s="4">
        <v>15.77</v>
      </c>
    </row>
    <row r="23" spans="1:28" x14ac:dyDescent="0.25">
      <c r="A23">
        <v>2014</v>
      </c>
      <c r="B23" s="2">
        <v>41832</v>
      </c>
      <c r="C23" s="21">
        <v>367</v>
      </c>
      <c r="D23" s="4">
        <v>0.31999999999999318</v>
      </c>
      <c r="E23" s="21">
        <v>366</v>
      </c>
      <c r="F23" s="5">
        <f t="shared" ref="F23:F27" si="5">E23*D23/C23</f>
        <v>0.31912806539508859</v>
      </c>
      <c r="G23" s="3">
        <v>2014</v>
      </c>
      <c r="H23">
        <v>367</v>
      </c>
      <c r="I23">
        <v>1.5499999999999989</v>
      </c>
      <c r="J23" s="21">
        <v>365</v>
      </c>
      <c r="K23" s="6">
        <f t="shared" ref="K23:K26" si="6">J23*I23/H23</f>
        <v>1.5415531335149855</v>
      </c>
      <c r="L23" s="3">
        <v>2014</v>
      </c>
      <c r="M23" s="23">
        <v>367</v>
      </c>
      <c r="N23" s="4">
        <v>0.65000000000000213</v>
      </c>
      <c r="O23" s="21">
        <v>365</v>
      </c>
      <c r="P23" s="5">
        <f t="shared" ref="P23:P27" si="7">O23*N23/M23</f>
        <v>0.64645776566757707</v>
      </c>
      <c r="Q23" s="3">
        <v>2014</v>
      </c>
      <c r="R23" s="23">
        <v>367</v>
      </c>
      <c r="S23" s="4">
        <v>0.16999999999999815</v>
      </c>
      <c r="T23" s="21">
        <v>365</v>
      </c>
      <c r="U23" s="5">
        <f t="shared" si="4"/>
        <v>0.169073569482287</v>
      </c>
      <c r="Z23" s="109">
        <v>2006</v>
      </c>
      <c r="AA23" s="4">
        <v>14.81</v>
      </c>
      <c r="AB23" s="4">
        <v>15.5</v>
      </c>
    </row>
    <row r="24" spans="1:28" x14ac:dyDescent="0.25">
      <c r="A24">
        <v>2016</v>
      </c>
      <c r="B24" s="1">
        <v>42515</v>
      </c>
      <c r="C24" s="21">
        <v>683</v>
      </c>
      <c r="D24" s="4">
        <v>0.3300000000000054</v>
      </c>
      <c r="E24" s="21">
        <v>365</v>
      </c>
      <c r="F24" s="5">
        <f t="shared" si="5"/>
        <v>0.17635431918009076</v>
      </c>
      <c r="G24" s="3">
        <v>2016</v>
      </c>
      <c r="H24">
        <v>683</v>
      </c>
      <c r="I24">
        <v>1.6799999999999997</v>
      </c>
      <c r="J24" s="21">
        <v>366</v>
      </c>
      <c r="K24" s="10">
        <f t="shared" si="6"/>
        <v>0.90026354319180069</v>
      </c>
      <c r="L24" s="3">
        <v>2016</v>
      </c>
      <c r="M24" s="23"/>
      <c r="N24" s="4"/>
      <c r="O24" s="21"/>
      <c r="P24" s="5"/>
      <c r="Q24" s="3">
        <v>2016</v>
      </c>
      <c r="R24" s="23">
        <v>683</v>
      </c>
      <c r="S24" s="4">
        <v>1.5400000000000027</v>
      </c>
      <c r="T24" s="21">
        <v>366</v>
      </c>
      <c r="U24" s="5">
        <f t="shared" si="4"/>
        <v>0.82524158125915226</v>
      </c>
      <c r="Z24" s="109">
        <v>2007</v>
      </c>
      <c r="AA24" s="4">
        <v>14.79</v>
      </c>
      <c r="AB24" s="4">
        <v>15.41</v>
      </c>
    </row>
    <row r="25" spans="1:28" x14ac:dyDescent="0.25">
      <c r="A25">
        <v>2019</v>
      </c>
      <c r="B25" s="1">
        <v>43690</v>
      </c>
      <c r="C25" s="21">
        <v>1175</v>
      </c>
      <c r="D25" s="4">
        <v>4.6099999999999994</v>
      </c>
      <c r="E25" s="21">
        <v>365</v>
      </c>
      <c r="F25" s="6">
        <f>E25*D25/C25</f>
        <v>1.4320425531914893</v>
      </c>
      <c r="G25" s="3">
        <v>2019</v>
      </c>
      <c r="H25">
        <v>1175</v>
      </c>
      <c r="I25">
        <v>5.2100000000000009</v>
      </c>
      <c r="J25" s="21">
        <v>365</v>
      </c>
      <c r="K25" s="6">
        <f t="shared" si="6"/>
        <v>1.6184255319148939</v>
      </c>
      <c r="L25" s="3">
        <v>2019</v>
      </c>
      <c r="M25" s="23">
        <v>1858</v>
      </c>
      <c r="N25" s="4">
        <v>3.6099999999999994</v>
      </c>
      <c r="O25" s="21">
        <v>365</v>
      </c>
      <c r="P25" s="5">
        <f t="shared" si="7"/>
        <v>0.7091765339074273</v>
      </c>
      <c r="Q25" s="3">
        <v>2019</v>
      </c>
      <c r="R25" s="23">
        <v>1175</v>
      </c>
      <c r="S25" s="4">
        <v>4.2299999999999986</v>
      </c>
      <c r="T25" s="21">
        <v>365</v>
      </c>
      <c r="U25" s="6">
        <f t="shared" si="4"/>
        <v>1.3139999999999996</v>
      </c>
      <c r="Z25" s="109">
        <v>2008</v>
      </c>
      <c r="AA25" s="4">
        <v>14.73</v>
      </c>
      <c r="AB25" s="4">
        <v>15.690000000000001</v>
      </c>
    </row>
    <row r="26" spans="1:28" x14ac:dyDescent="0.25">
      <c r="A26">
        <v>2020</v>
      </c>
      <c r="B26" s="1">
        <v>44090</v>
      </c>
      <c r="C26" s="21">
        <v>400</v>
      </c>
      <c r="D26" s="4">
        <v>1.75</v>
      </c>
      <c r="E26" s="21">
        <v>365</v>
      </c>
      <c r="F26" s="6">
        <f t="shared" si="5"/>
        <v>1.596875</v>
      </c>
      <c r="G26" s="3">
        <v>2020</v>
      </c>
      <c r="H26">
        <v>400</v>
      </c>
      <c r="I26">
        <v>0.33999999999999986</v>
      </c>
      <c r="J26" s="21">
        <v>365</v>
      </c>
      <c r="K26" s="5">
        <f t="shared" si="6"/>
        <v>0.31024999999999986</v>
      </c>
      <c r="L26" s="3">
        <v>2020</v>
      </c>
      <c r="M26" s="23">
        <v>400</v>
      </c>
      <c r="N26" s="4">
        <v>0.10999999999999943</v>
      </c>
      <c r="O26" s="21">
        <v>365</v>
      </c>
      <c r="P26" s="5">
        <f t="shared" si="7"/>
        <v>0.10037499999999948</v>
      </c>
      <c r="Q26" s="3">
        <v>2020</v>
      </c>
      <c r="R26" s="23">
        <v>400</v>
      </c>
      <c r="S26" s="4">
        <v>1.1500000000000004</v>
      </c>
      <c r="T26" s="21">
        <v>365</v>
      </c>
      <c r="U26" s="6">
        <f t="shared" si="4"/>
        <v>1.0493750000000004</v>
      </c>
      <c r="Z26" s="109">
        <v>2009</v>
      </c>
      <c r="AA26" s="4">
        <v>14.705</v>
      </c>
      <c r="AB26" s="4">
        <v>15.45</v>
      </c>
    </row>
    <row r="27" spans="1:28" x14ac:dyDescent="0.25">
      <c r="A27">
        <v>2022</v>
      </c>
      <c r="B27" s="1">
        <v>44775</v>
      </c>
      <c r="C27">
        <f>B27-B26</f>
        <v>685</v>
      </c>
      <c r="D27" s="4">
        <v>1.21</v>
      </c>
      <c r="E27" s="21">
        <v>366</v>
      </c>
      <c r="F27" s="10">
        <f t="shared" si="5"/>
        <v>0.64651094890510952</v>
      </c>
      <c r="G27" s="3">
        <v>2022</v>
      </c>
      <c r="J27" s="21"/>
      <c r="K27" s="5"/>
      <c r="L27" s="3">
        <v>2022</v>
      </c>
      <c r="M27">
        <v>685</v>
      </c>
      <c r="N27" s="4">
        <v>0.44</v>
      </c>
      <c r="O27" s="21">
        <v>366</v>
      </c>
      <c r="P27" s="5">
        <f t="shared" si="7"/>
        <v>0.2350948905109489</v>
      </c>
      <c r="Q27" s="3">
        <v>2022</v>
      </c>
      <c r="R27">
        <v>685</v>
      </c>
      <c r="S27" s="4">
        <v>1.92</v>
      </c>
      <c r="T27" s="21">
        <v>366</v>
      </c>
      <c r="U27" s="6">
        <f t="shared" si="4"/>
        <v>1.0258686131386863</v>
      </c>
      <c r="Z27" s="109">
        <v>2010</v>
      </c>
      <c r="AA27" s="4">
        <v>14.365</v>
      </c>
      <c r="AB27" s="4">
        <v>15.600000000000001</v>
      </c>
    </row>
    <row r="28" spans="1:28" x14ac:dyDescent="0.25">
      <c r="Z28" s="109">
        <v>2011</v>
      </c>
      <c r="AA28" s="4">
        <v>14.405000000000001</v>
      </c>
      <c r="AB28" s="4">
        <v>15.49</v>
      </c>
    </row>
    <row r="29" spans="1:28" x14ac:dyDescent="0.25">
      <c r="Z29" s="109">
        <v>2012</v>
      </c>
      <c r="AA29" s="4">
        <v>14.625</v>
      </c>
      <c r="AB29" s="4">
        <v>15.52</v>
      </c>
    </row>
    <row r="30" spans="1:28" x14ac:dyDescent="0.25">
      <c r="D30" s="3" t="s">
        <v>23</v>
      </c>
      <c r="E30" s="3"/>
      <c r="F30" s="5">
        <f>AVERAGE(F10:F26)</f>
        <v>0.9688129661008178</v>
      </c>
      <c r="K30" s="5">
        <f>AVERAGE(K10:K26)</f>
        <v>0.77401837601405232</v>
      </c>
      <c r="P30" s="5">
        <f>AVERAGE(P10:P26)</f>
        <v>0.39271243920902027</v>
      </c>
      <c r="U30" s="5">
        <f xml:space="preserve"> AVERAGE(U10:U26)</f>
        <v>1.209278371162863</v>
      </c>
      <c r="Z30" s="109">
        <v>2013</v>
      </c>
      <c r="AA30" s="4">
        <v>14.755000000000001</v>
      </c>
      <c r="AB30" s="4">
        <v>15.370000000000001</v>
      </c>
    </row>
    <row r="31" spans="1:28" x14ac:dyDescent="0.25">
      <c r="D31" t="s">
        <v>24</v>
      </c>
      <c r="Z31" s="109">
        <v>2014</v>
      </c>
      <c r="AA31" s="4">
        <v>14.52</v>
      </c>
      <c r="AB31" s="4">
        <v>15.45</v>
      </c>
    </row>
    <row r="32" spans="1:28" x14ac:dyDescent="0.25">
      <c r="Z32" s="109">
        <v>2015</v>
      </c>
      <c r="AA32" s="4">
        <v>14.55</v>
      </c>
      <c r="AB32" s="4">
        <v>15.18</v>
      </c>
    </row>
    <row r="33" spans="1:28" x14ac:dyDescent="0.25">
      <c r="D33" s="3" t="s">
        <v>27</v>
      </c>
      <c r="E33" s="3"/>
      <c r="F33" s="5">
        <f>MAX(F10:F26)</f>
        <v>2.039851150202975</v>
      </c>
      <c r="G33" s="4"/>
      <c r="H33" s="4"/>
      <c r="I33" s="4"/>
      <c r="J33" s="4"/>
      <c r="K33" s="5">
        <f t="shared" ref="K33:P33" si="8">MAX(K10:K26)</f>
        <v>1.6184255319148939</v>
      </c>
      <c r="L33" s="4"/>
      <c r="M33" s="4"/>
      <c r="N33" s="4"/>
      <c r="O33" s="4"/>
      <c r="P33" s="5">
        <f t="shared" si="8"/>
        <v>0.7091765339074273</v>
      </c>
      <c r="Q33" s="4"/>
      <c r="R33" s="4"/>
      <c r="S33" s="4"/>
      <c r="T33" s="4"/>
      <c r="U33" s="5">
        <f>MAX(U10:U26)</f>
        <v>3.9459459459459496</v>
      </c>
      <c r="Z33" s="109">
        <v>2016</v>
      </c>
      <c r="AA33" s="4">
        <v>14.785</v>
      </c>
      <c r="AB33" s="4">
        <v>15.600000000000001</v>
      </c>
    </row>
    <row r="34" spans="1:28" x14ac:dyDescent="0.25">
      <c r="Z34" s="109">
        <v>2017</v>
      </c>
      <c r="AA34" s="4">
        <v>14.78</v>
      </c>
      <c r="AB34" s="4">
        <v>15.45</v>
      </c>
    </row>
    <row r="35" spans="1:28" x14ac:dyDescent="0.25">
      <c r="C35" s="3" t="s">
        <v>1</v>
      </c>
      <c r="I35" s="3" t="s">
        <v>2</v>
      </c>
      <c r="O35" s="3" t="s">
        <v>3</v>
      </c>
      <c r="U35" s="3" t="s">
        <v>4</v>
      </c>
      <c r="Z35" s="109">
        <v>2018</v>
      </c>
      <c r="AA35" s="4">
        <v>14.64</v>
      </c>
      <c r="AB35" s="4">
        <v>15.2</v>
      </c>
    </row>
    <row r="36" spans="1:28" x14ac:dyDescent="0.25">
      <c r="F36" t="s">
        <v>50</v>
      </c>
      <c r="L36" t="s">
        <v>50</v>
      </c>
      <c r="R36" t="s">
        <v>50</v>
      </c>
      <c r="X36" t="s">
        <v>50</v>
      </c>
    </row>
    <row r="37" spans="1:28" x14ac:dyDescent="0.25">
      <c r="A37" s="3">
        <v>1987</v>
      </c>
      <c r="B37" s="1">
        <v>31956</v>
      </c>
      <c r="D37" s="106">
        <v>0</v>
      </c>
      <c r="F37" s="3">
        <v>0</v>
      </c>
      <c r="G37" s="3">
        <v>1987</v>
      </c>
      <c r="H37" s="1">
        <v>31956</v>
      </c>
      <c r="I37">
        <v>0</v>
      </c>
      <c r="L37" s="3">
        <v>0</v>
      </c>
      <c r="M37" s="3">
        <v>1987</v>
      </c>
      <c r="N37" s="1">
        <v>31956</v>
      </c>
      <c r="O37" s="4"/>
      <c r="P37">
        <v>0</v>
      </c>
      <c r="R37" s="3">
        <v>0</v>
      </c>
      <c r="S37" s="3">
        <v>1987</v>
      </c>
      <c r="T37" s="1">
        <v>31956</v>
      </c>
      <c r="V37" s="4">
        <v>0</v>
      </c>
      <c r="X37" s="3">
        <v>0</v>
      </c>
    </row>
    <row r="38" spans="1:28" x14ac:dyDescent="0.25">
      <c r="A38" s="3">
        <v>1993</v>
      </c>
      <c r="B38" s="1">
        <v>34116</v>
      </c>
      <c r="D38" s="107">
        <v>6.210000000000008</v>
      </c>
      <c r="F38" s="5">
        <f>F37+D38</f>
        <v>6.210000000000008</v>
      </c>
      <c r="G38" s="24">
        <v>1993</v>
      </c>
      <c r="H38" s="1">
        <v>34116</v>
      </c>
      <c r="I38" s="4">
        <v>0.30000000000000071</v>
      </c>
      <c r="L38" s="5">
        <f>L37+I38</f>
        <v>0.30000000000000071</v>
      </c>
      <c r="M38" s="3">
        <v>1993</v>
      </c>
      <c r="N38" s="1">
        <v>34116</v>
      </c>
      <c r="O38" s="4"/>
      <c r="P38" s="4">
        <v>0.40999999999999659</v>
      </c>
      <c r="R38" s="5">
        <f>R37+P38</f>
        <v>0.40999999999999659</v>
      </c>
      <c r="S38" s="3">
        <v>1993</v>
      </c>
      <c r="T38" s="1">
        <v>34116</v>
      </c>
      <c r="V38" s="4">
        <v>5.3299999999999983</v>
      </c>
      <c r="X38" s="5">
        <f>X37+V38</f>
        <v>5.3299999999999983</v>
      </c>
    </row>
    <row r="39" spans="1:28" x14ac:dyDescent="0.25">
      <c r="A39" s="3">
        <v>1995</v>
      </c>
      <c r="B39" s="1">
        <v>34901</v>
      </c>
      <c r="D39" s="107">
        <v>4.5799999999999983</v>
      </c>
      <c r="F39" s="5">
        <f t="shared" ref="F39:F53" si="9">F38+D39</f>
        <v>10.790000000000006</v>
      </c>
      <c r="G39" s="24">
        <v>1995</v>
      </c>
      <c r="H39" s="1">
        <v>34901</v>
      </c>
      <c r="I39" s="9">
        <v>0</v>
      </c>
      <c r="L39" s="5">
        <f t="shared" ref="L39:L54" si="10">L38+I39</f>
        <v>0.30000000000000071</v>
      </c>
      <c r="M39" s="3">
        <v>1995</v>
      </c>
      <c r="N39" s="1">
        <v>34985</v>
      </c>
      <c r="O39" s="4"/>
      <c r="P39" s="4">
        <v>7.9999999999998295E-2</v>
      </c>
      <c r="R39" s="5">
        <f t="shared" ref="R39:R53" si="11">R38+P39</f>
        <v>0.48999999999999488</v>
      </c>
      <c r="S39" s="3">
        <v>1995</v>
      </c>
      <c r="T39" s="1">
        <v>34901</v>
      </c>
      <c r="V39" s="4">
        <v>1.0000000000005116E-2</v>
      </c>
      <c r="X39" s="5">
        <f t="shared" ref="X39:X54" si="12">X38+V39</f>
        <v>5.3400000000000034</v>
      </c>
    </row>
    <row r="40" spans="1:28" x14ac:dyDescent="0.25">
      <c r="A40" s="3">
        <v>1995</v>
      </c>
      <c r="B40" s="1">
        <v>34985</v>
      </c>
      <c r="D40" s="107">
        <v>0.42000000000000171</v>
      </c>
      <c r="F40" s="5">
        <f t="shared" si="9"/>
        <v>11.210000000000008</v>
      </c>
      <c r="G40" s="24">
        <v>1995</v>
      </c>
      <c r="H40" s="1">
        <v>34985</v>
      </c>
      <c r="I40" s="9">
        <v>1.9999999999999574E-2</v>
      </c>
      <c r="L40" s="5">
        <f t="shared" si="10"/>
        <v>0.32000000000000028</v>
      </c>
      <c r="M40" s="3">
        <v>1999</v>
      </c>
      <c r="N40" s="1">
        <v>36349</v>
      </c>
      <c r="O40" s="4"/>
      <c r="P40" s="4">
        <v>1.7300000000000004</v>
      </c>
      <c r="R40" s="5">
        <f t="shared" si="11"/>
        <v>2.2199999999999953</v>
      </c>
      <c r="S40" s="3">
        <v>2000</v>
      </c>
      <c r="T40" s="1">
        <v>36715</v>
      </c>
      <c r="V40" s="4">
        <v>7.4699999999999989</v>
      </c>
      <c r="X40" s="5">
        <f t="shared" si="12"/>
        <v>12.810000000000002</v>
      </c>
    </row>
    <row r="41" spans="1:28" x14ac:dyDescent="0.25">
      <c r="A41" s="3">
        <v>2000</v>
      </c>
      <c r="B41" s="1">
        <v>36715</v>
      </c>
      <c r="D41" s="107">
        <v>5.1299999999999955</v>
      </c>
      <c r="F41" s="5">
        <f t="shared" si="9"/>
        <v>16.340000000000003</v>
      </c>
      <c r="G41" s="24">
        <v>1999</v>
      </c>
      <c r="H41" s="1">
        <v>36349</v>
      </c>
      <c r="I41" s="9">
        <v>1.3700000000000045</v>
      </c>
      <c r="L41" s="5">
        <f t="shared" si="10"/>
        <v>1.6900000000000048</v>
      </c>
      <c r="M41" s="3">
        <v>2000</v>
      </c>
      <c r="N41" s="1">
        <v>36715</v>
      </c>
      <c r="O41" s="4"/>
      <c r="P41" s="4">
        <v>0.52999999999999758</v>
      </c>
      <c r="R41" s="5">
        <f t="shared" si="11"/>
        <v>2.7499999999999929</v>
      </c>
      <c r="S41" s="3">
        <v>2001</v>
      </c>
      <c r="T41" s="1">
        <v>37088</v>
      </c>
      <c r="V41" s="4">
        <v>4.8699999999999974</v>
      </c>
      <c r="X41" s="5">
        <f t="shared" si="12"/>
        <v>17.68</v>
      </c>
    </row>
    <row r="42" spans="1:28" x14ac:dyDescent="0.25">
      <c r="A42" s="3">
        <v>2001</v>
      </c>
      <c r="B42" s="1">
        <v>37088</v>
      </c>
      <c r="D42" s="107">
        <v>1.1500000000000057</v>
      </c>
      <c r="F42" s="5">
        <f t="shared" si="9"/>
        <v>17.490000000000009</v>
      </c>
      <c r="G42" s="24">
        <v>2000</v>
      </c>
      <c r="H42" s="1">
        <v>36715</v>
      </c>
      <c r="I42" s="9">
        <v>1.8099999999999952</v>
      </c>
      <c r="L42" s="5">
        <f t="shared" si="10"/>
        <v>3.5</v>
      </c>
      <c r="M42" s="3">
        <v>2003</v>
      </c>
      <c r="N42" s="1">
        <v>37827</v>
      </c>
      <c r="O42" s="4"/>
      <c r="P42" s="4">
        <v>1.2300000000000004</v>
      </c>
      <c r="R42" s="5">
        <f t="shared" si="11"/>
        <v>3.9799999999999933</v>
      </c>
      <c r="S42" s="3">
        <v>2003</v>
      </c>
      <c r="T42" s="1">
        <v>37827</v>
      </c>
      <c r="V42" s="4">
        <v>0.75</v>
      </c>
      <c r="X42" s="5">
        <f t="shared" si="12"/>
        <v>18.43</v>
      </c>
    </row>
    <row r="43" spans="1:28" x14ac:dyDescent="0.25">
      <c r="A43" s="3">
        <v>2003</v>
      </c>
      <c r="B43" s="1">
        <v>37827</v>
      </c>
      <c r="D43" s="107">
        <v>4.1299999999999955</v>
      </c>
      <c r="F43" s="5">
        <f t="shared" si="9"/>
        <v>21.620000000000005</v>
      </c>
      <c r="G43" s="24">
        <v>2003</v>
      </c>
      <c r="H43" s="1">
        <v>37827</v>
      </c>
      <c r="I43" s="9">
        <v>2.6200000000000045</v>
      </c>
      <c r="L43" s="5">
        <f t="shared" si="10"/>
        <v>6.1200000000000045</v>
      </c>
      <c r="M43" s="3">
        <v>2005</v>
      </c>
      <c r="N43" s="1">
        <v>38554</v>
      </c>
      <c r="O43" s="4"/>
      <c r="P43" s="4">
        <v>1.1099999999999959</v>
      </c>
      <c r="R43" s="5">
        <f t="shared" si="11"/>
        <v>5.0899999999999892</v>
      </c>
      <c r="S43" s="3">
        <v>2004</v>
      </c>
      <c r="T43" s="1">
        <v>38190</v>
      </c>
      <c r="V43" s="4">
        <v>1.4400000000000013</v>
      </c>
      <c r="X43" s="5">
        <f t="shared" si="12"/>
        <v>19.87</v>
      </c>
    </row>
    <row r="44" spans="1:28" x14ac:dyDescent="0.25">
      <c r="A44" s="3">
        <v>2004</v>
      </c>
      <c r="B44" s="1">
        <v>38190</v>
      </c>
      <c r="D44" s="107">
        <v>2.0100000000000051</v>
      </c>
      <c r="F44" s="5">
        <f t="shared" si="9"/>
        <v>23.63000000000001</v>
      </c>
      <c r="G44" s="24">
        <v>2004</v>
      </c>
      <c r="H44" s="1">
        <v>38190</v>
      </c>
      <c r="I44" s="9">
        <v>1.0799999999999983</v>
      </c>
      <c r="L44" s="5">
        <f t="shared" si="10"/>
        <v>7.2000000000000028</v>
      </c>
      <c r="M44" s="3">
        <v>2006</v>
      </c>
      <c r="N44" s="1">
        <v>38989</v>
      </c>
      <c r="O44" s="4"/>
      <c r="P44" s="4">
        <v>6.0000000000005826E-2</v>
      </c>
      <c r="R44" s="5">
        <f t="shared" si="11"/>
        <v>5.149999999999995</v>
      </c>
      <c r="S44" s="3">
        <v>2005</v>
      </c>
      <c r="T44" s="1">
        <v>38554</v>
      </c>
      <c r="V44" s="4">
        <v>1.5199999999999996</v>
      </c>
      <c r="X44" s="5">
        <f t="shared" si="12"/>
        <v>21.39</v>
      </c>
    </row>
    <row r="45" spans="1:28" x14ac:dyDescent="0.25">
      <c r="A45" s="3">
        <v>2005</v>
      </c>
      <c r="B45" s="1">
        <v>38554</v>
      </c>
      <c r="D45" s="107">
        <v>0.14999999999999858</v>
      </c>
      <c r="F45" s="5">
        <f t="shared" si="9"/>
        <v>23.780000000000008</v>
      </c>
      <c r="G45" s="24">
        <v>2005</v>
      </c>
      <c r="H45" s="1">
        <v>38554</v>
      </c>
      <c r="I45" s="9">
        <v>1.1300000000000008</v>
      </c>
      <c r="L45" s="5">
        <f t="shared" si="10"/>
        <v>8.3300000000000036</v>
      </c>
      <c r="M45" s="3">
        <v>2009</v>
      </c>
      <c r="N45" s="1">
        <v>40012</v>
      </c>
      <c r="O45" s="4"/>
      <c r="P45" s="4">
        <v>1.3900000000000006</v>
      </c>
      <c r="R45" s="5">
        <f t="shared" si="11"/>
        <v>6.5399999999999956</v>
      </c>
      <c r="S45" s="3">
        <v>2006</v>
      </c>
      <c r="T45" s="1">
        <v>38989</v>
      </c>
      <c r="V45" s="4">
        <v>1.1400000000000006</v>
      </c>
      <c r="X45" s="5">
        <f t="shared" si="12"/>
        <v>22.53</v>
      </c>
    </row>
    <row r="46" spans="1:28" x14ac:dyDescent="0.25">
      <c r="A46" s="3">
        <v>2006</v>
      </c>
      <c r="B46" s="1">
        <v>38989</v>
      </c>
      <c r="D46" s="107">
        <v>0.64999999999999858</v>
      </c>
      <c r="F46" s="5">
        <f t="shared" si="9"/>
        <v>24.430000000000007</v>
      </c>
      <c r="G46" s="24">
        <v>2006</v>
      </c>
      <c r="H46" s="1">
        <v>38989</v>
      </c>
      <c r="I46" s="9">
        <v>0.10999999999999943</v>
      </c>
      <c r="L46" s="5">
        <f t="shared" si="10"/>
        <v>8.4400000000000031</v>
      </c>
      <c r="M46" s="3">
        <v>2009</v>
      </c>
      <c r="N46" s="1">
        <v>40086</v>
      </c>
      <c r="O46" s="4"/>
      <c r="P46" s="4">
        <v>0.13999999999999702</v>
      </c>
      <c r="R46" s="5">
        <f t="shared" si="11"/>
        <v>6.6799999999999926</v>
      </c>
      <c r="S46" s="3">
        <v>2009</v>
      </c>
      <c r="T46" s="1">
        <v>40012</v>
      </c>
      <c r="V46" s="4">
        <v>0.80000000000000071</v>
      </c>
      <c r="X46" s="5">
        <f t="shared" si="12"/>
        <v>23.330000000000002</v>
      </c>
    </row>
    <row r="47" spans="1:28" x14ac:dyDescent="0.25">
      <c r="A47" s="3">
        <v>2009</v>
      </c>
      <c r="B47" s="1">
        <v>40086</v>
      </c>
      <c r="D47" s="107">
        <v>2.6899999999999977</v>
      </c>
      <c r="F47" s="5">
        <f t="shared" si="9"/>
        <v>27.120000000000005</v>
      </c>
      <c r="G47" s="24">
        <v>2009</v>
      </c>
      <c r="H47" s="1">
        <v>40012</v>
      </c>
      <c r="I47" s="9">
        <v>2.0299999999999994</v>
      </c>
      <c r="L47" s="5">
        <f t="shared" si="10"/>
        <v>10.470000000000002</v>
      </c>
      <c r="M47" s="3">
        <v>2011</v>
      </c>
      <c r="N47" s="1">
        <v>40801</v>
      </c>
      <c r="P47" s="4">
        <v>0</v>
      </c>
      <c r="R47" s="5">
        <f t="shared" si="11"/>
        <v>6.6799999999999926</v>
      </c>
      <c r="S47" s="3">
        <v>2011</v>
      </c>
      <c r="T47" s="1">
        <v>40801</v>
      </c>
      <c r="V47" s="4">
        <v>0.13000000000000256</v>
      </c>
      <c r="X47" s="5">
        <f t="shared" si="12"/>
        <v>23.460000000000004</v>
      </c>
    </row>
    <row r="48" spans="1:28" x14ac:dyDescent="0.25">
      <c r="A48" s="3">
        <v>2013</v>
      </c>
      <c r="B48" s="1">
        <v>41465</v>
      </c>
      <c r="D48" s="107">
        <v>0.43000000000000682</v>
      </c>
      <c r="F48" s="5">
        <f t="shared" si="9"/>
        <v>27.550000000000011</v>
      </c>
      <c r="G48" s="24">
        <v>2011</v>
      </c>
      <c r="H48" s="1">
        <v>40801</v>
      </c>
      <c r="I48">
        <v>9.0000000000001634E-2</v>
      </c>
      <c r="L48" s="5">
        <f t="shared" si="10"/>
        <v>10.560000000000004</v>
      </c>
      <c r="M48" s="3">
        <v>2013</v>
      </c>
      <c r="N48" s="1">
        <v>41465</v>
      </c>
      <c r="P48" s="4">
        <v>0.25</v>
      </c>
      <c r="R48" s="5">
        <f t="shared" si="11"/>
        <v>6.9299999999999926</v>
      </c>
      <c r="S48" s="3">
        <v>2012</v>
      </c>
      <c r="T48" s="1">
        <v>41196</v>
      </c>
      <c r="V48" s="4">
        <v>0.57999999999999829</v>
      </c>
      <c r="X48" s="5">
        <f t="shared" si="12"/>
        <v>24.040000000000003</v>
      </c>
    </row>
    <row r="49" spans="1:24" x14ac:dyDescent="0.25">
      <c r="A49" s="3">
        <v>2014</v>
      </c>
      <c r="B49" s="2">
        <v>41832</v>
      </c>
      <c r="D49" s="107">
        <v>0.31999999999999318</v>
      </c>
      <c r="F49" s="5">
        <f t="shared" si="9"/>
        <v>27.870000000000005</v>
      </c>
      <c r="G49" s="24">
        <v>2012</v>
      </c>
      <c r="H49" s="1">
        <v>41196</v>
      </c>
      <c r="I49">
        <v>0</v>
      </c>
      <c r="L49" s="5">
        <f t="shared" si="10"/>
        <v>10.560000000000004</v>
      </c>
      <c r="M49" s="3">
        <v>2014</v>
      </c>
      <c r="N49" s="2">
        <v>41832</v>
      </c>
      <c r="P49" s="4">
        <v>0.65000000000000213</v>
      </c>
      <c r="R49" s="5">
        <f t="shared" si="11"/>
        <v>7.5799999999999947</v>
      </c>
      <c r="S49" s="3">
        <v>2013</v>
      </c>
      <c r="T49" s="1">
        <v>41465</v>
      </c>
      <c r="V49" s="4">
        <v>0.87000000000000099</v>
      </c>
      <c r="X49" s="5">
        <f t="shared" si="12"/>
        <v>24.910000000000004</v>
      </c>
    </row>
    <row r="50" spans="1:24" x14ac:dyDescent="0.25">
      <c r="A50" s="3">
        <v>2016</v>
      </c>
      <c r="B50" s="1">
        <v>42515</v>
      </c>
      <c r="D50" s="107">
        <v>0.3300000000000054</v>
      </c>
      <c r="F50" s="5">
        <f t="shared" si="9"/>
        <v>28.20000000000001</v>
      </c>
      <c r="G50" s="24">
        <v>2013</v>
      </c>
      <c r="H50" s="1">
        <v>41465</v>
      </c>
      <c r="I50">
        <v>0.84999999999999964</v>
      </c>
      <c r="L50" s="5">
        <f t="shared" si="10"/>
        <v>11.410000000000004</v>
      </c>
      <c r="M50" s="3">
        <v>2016</v>
      </c>
      <c r="N50" s="1">
        <v>42515</v>
      </c>
      <c r="P50" s="4">
        <v>-0.02</v>
      </c>
      <c r="R50" s="5">
        <f t="shared" si="11"/>
        <v>7.5599999999999952</v>
      </c>
      <c r="S50" s="3">
        <v>2014</v>
      </c>
      <c r="T50" s="2">
        <v>41832</v>
      </c>
      <c r="V50" s="4">
        <v>0.16999999999999815</v>
      </c>
      <c r="X50" s="5">
        <f t="shared" si="12"/>
        <v>25.080000000000002</v>
      </c>
    </row>
    <row r="51" spans="1:24" x14ac:dyDescent="0.25">
      <c r="A51" s="3">
        <v>2019</v>
      </c>
      <c r="B51" s="1">
        <v>43690</v>
      </c>
      <c r="D51" s="107">
        <v>4.6099999999999994</v>
      </c>
      <c r="F51" s="5">
        <f t="shared" si="9"/>
        <v>32.810000000000009</v>
      </c>
      <c r="G51" s="24">
        <v>2014</v>
      </c>
      <c r="H51" s="2">
        <v>41832</v>
      </c>
      <c r="I51">
        <v>1.5499999999999989</v>
      </c>
      <c r="L51" s="5">
        <f t="shared" si="10"/>
        <v>12.960000000000003</v>
      </c>
      <c r="M51" s="3">
        <v>2019</v>
      </c>
      <c r="N51" s="1">
        <v>43690</v>
      </c>
      <c r="P51" s="4">
        <v>3.6099999999999994</v>
      </c>
      <c r="R51" s="5">
        <f t="shared" si="11"/>
        <v>11.169999999999995</v>
      </c>
      <c r="S51" s="3">
        <v>2016</v>
      </c>
      <c r="T51" s="1">
        <v>42515</v>
      </c>
      <c r="V51" s="4">
        <v>1.5400000000000027</v>
      </c>
      <c r="X51" s="5">
        <f t="shared" si="12"/>
        <v>26.620000000000005</v>
      </c>
    </row>
    <row r="52" spans="1:24" x14ac:dyDescent="0.25">
      <c r="A52" s="3">
        <v>2020</v>
      </c>
      <c r="B52" s="1">
        <v>44090</v>
      </c>
      <c r="D52" s="107">
        <v>1.75</v>
      </c>
      <c r="F52" s="5">
        <f t="shared" si="9"/>
        <v>34.560000000000009</v>
      </c>
      <c r="G52" s="24">
        <v>2016</v>
      </c>
      <c r="H52" s="1">
        <v>42515</v>
      </c>
      <c r="I52">
        <v>1.6799999999999997</v>
      </c>
      <c r="L52" s="5">
        <f t="shared" si="10"/>
        <v>14.640000000000002</v>
      </c>
      <c r="M52" s="3">
        <v>2020</v>
      </c>
      <c r="N52" s="1">
        <v>44090</v>
      </c>
      <c r="P52" s="4">
        <v>0.10999999999999943</v>
      </c>
      <c r="R52" s="5">
        <f t="shared" si="11"/>
        <v>11.279999999999994</v>
      </c>
      <c r="S52" s="3">
        <v>2019</v>
      </c>
      <c r="T52" s="1">
        <v>43690</v>
      </c>
      <c r="V52" s="4">
        <v>4.2299999999999986</v>
      </c>
      <c r="X52" s="5">
        <f t="shared" si="12"/>
        <v>30.85</v>
      </c>
    </row>
    <row r="53" spans="1:24" x14ac:dyDescent="0.25">
      <c r="A53" s="3">
        <v>2022</v>
      </c>
      <c r="B53" s="1">
        <v>44775</v>
      </c>
      <c r="D53" s="107">
        <v>1.21</v>
      </c>
      <c r="F53" s="5">
        <f t="shared" si="9"/>
        <v>35.77000000000001</v>
      </c>
      <c r="G53" s="24">
        <v>2019</v>
      </c>
      <c r="H53" s="1">
        <v>43690</v>
      </c>
      <c r="I53">
        <v>5.2100000000000009</v>
      </c>
      <c r="L53" s="5">
        <f t="shared" si="10"/>
        <v>19.850000000000001</v>
      </c>
      <c r="M53" s="3">
        <v>2022</v>
      </c>
      <c r="N53" s="1">
        <v>44775</v>
      </c>
      <c r="P53" s="4">
        <v>0.44</v>
      </c>
      <c r="R53" s="5">
        <f t="shared" si="11"/>
        <v>11.719999999999994</v>
      </c>
      <c r="S53" s="3">
        <v>2020</v>
      </c>
      <c r="T53" s="1">
        <v>44090</v>
      </c>
      <c r="V53" s="4">
        <v>1.1500000000000004</v>
      </c>
      <c r="X53" s="5">
        <f t="shared" si="12"/>
        <v>32</v>
      </c>
    </row>
    <row r="54" spans="1:24" x14ac:dyDescent="0.25">
      <c r="G54" s="24">
        <v>2020</v>
      </c>
      <c r="H54" s="1">
        <v>44090</v>
      </c>
      <c r="I54">
        <v>0.33999999999999986</v>
      </c>
      <c r="L54" s="5">
        <f t="shared" si="10"/>
        <v>20.190000000000001</v>
      </c>
      <c r="S54" s="3">
        <v>2022</v>
      </c>
      <c r="T54" s="1">
        <v>44775</v>
      </c>
      <c r="V54" s="4">
        <v>1.92</v>
      </c>
      <c r="X54" s="5">
        <f t="shared" si="12"/>
        <v>33.92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opLeftCell="F22" workbookViewId="0">
      <selection activeCell="S35" sqref="S35"/>
    </sheetView>
  </sheetViews>
  <sheetFormatPr defaultRowHeight="15" x14ac:dyDescent="0.25"/>
  <cols>
    <col min="2" max="2" width="11.85546875" customWidth="1"/>
    <col min="3" max="3" width="9.140625" customWidth="1"/>
    <col min="8" max="8" width="12.28515625" customWidth="1"/>
    <col min="15" max="15" width="11.140625" customWidth="1"/>
  </cols>
  <sheetData>
    <row r="1" spans="1:24" x14ac:dyDescent="0.25">
      <c r="B1" s="3" t="s">
        <v>11</v>
      </c>
    </row>
    <row r="2" spans="1:24" x14ac:dyDescent="0.25">
      <c r="C2" s="3" t="s">
        <v>28</v>
      </c>
      <c r="H2" s="3" t="s">
        <v>37</v>
      </c>
      <c r="M2" s="3" t="s">
        <v>29</v>
      </c>
      <c r="Q2" s="7"/>
      <c r="R2" s="7"/>
      <c r="S2" s="7"/>
      <c r="T2" s="7"/>
      <c r="U2" s="7"/>
    </row>
    <row r="3" spans="1:24" x14ac:dyDescent="0.25">
      <c r="C3" s="3"/>
      <c r="F3" t="s">
        <v>49</v>
      </c>
      <c r="H3" s="3"/>
      <c r="K3" t="s">
        <v>49</v>
      </c>
      <c r="M3" s="3"/>
      <c r="P3" t="s">
        <v>49</v>
      </c>
      <c r="Q3" s="7"/>
      <c r="R3" s="7"/>
      <c r="S3" s="7"/>
      <c r="T3" s="7"/>
      <c r="U3" s="7"/>
      <c r="V3" t="s">
        <v>47</v>
      </c>
      <c r="W3" t="s">
        <v>48</v>
      </c>
    </row>
    <row r="4" spans="1:24" x14ac:dyDescent="0.25">
      <c r="A4">
        <v>1958</v>
      </c>
      <c r="B4" s="1">
        <v>21456</v>
      </c>
      <c r="C4" s="3"/>
      <c r="H4" s="3"/>
      <c r="M4" s="3"/>
      <c r="Q4" s="7"/>
      <c r="R4" s="7"/>
      <c r="S4" s="7"/>
      <c r="T4" s="7"/>
      <c r="U4" s="7"/>
      <c r="V4" s="109">
        <v>1986</v>
      </c>
      <c r="W4" s="4">
        <v>14.350000000000001</v>
      </c>
      <c r="X4" s="4">
        <v>15.34</v>
      </c>
    </row>
    <row r="5" spans="1:24" x14ac:dyDescent="0.25">
      <c r="A5">
        <v>1960</v>
      </c>
      <c r="B5" s="1">
        <v>22211</v>
      </c>
      <c r="C5" s="23">
        <v>755</v>
      </c>
      <c r="D5" s="4">
        <v>8.4000000000000341</v>
      </c>
      <c r="E5" s="21">
        <v>366</v>
      </c>
      <c r="F5" s="6">
        <f>E5*D5/C5</f>
        <v>4.072052980132467</v>
      </c>
      <c r="G5" s="3">
        <v>1960</v>
      </c>
      <c r="H5" s="23">
        <v>755</v>
      </c>
      <c r="I5" s="4">
        <v>8.0999999999999659</v>
      </c>
      <c r="J5" s="21">
        <v>366</v>
      </c>
      <c r="K5" s="6">
        <f t="shared" ref="K5:K20" si="0">J5*I5/H5</f>
        <v>3.9266225165562751</v>
      </c>
      <c r="L5" s="3">
        <v>1960</v>
      </c>
      <c r="M5" s="23">
        <v>755</v>
      </c>
      <c r="N5" s="4">
        <v>12.400000000000034</v>
      </c>
      <c r="O5" s="21">
        <v>366</v>
      </c>
      <c r="P5" s="6">
        <f>O5*N5/M5</f>
        <v>6.0111258278145856</v>
      </c>
      <c r="Q5" s="7"/>
      <c r="R5" s="7"/>
      <c r="S5" s="7"/>
      <c r="T5" s="7"/>
      <c r="U5" s="7"/>
      <c r="V5" s="109">
        <v>1987</v>
      </c>
      <c r="W5" s="4">
        <v>14.45</v>
      </c>
      <c r="X5" s="4">
        <v>15.379999999999999</v>
      </c>
    </row>
    <row r="6" spans="1:24" x14ac:dyDescent="0.25">
      <c r="A6">
        <v>1965</v>
      </c>
      <c r="B6" s="1">
        <v>23950</v>
      </c>
      <c r="C6" s="23">
        <v>1739</v>
      </c>
      <c r="D6" s="4">
        <v>27.799999999999983</v>
      </c>
      <c r="E6">
        <v>365</v>
      </c>
      <c r="F6" s="6">
        <f t="shared" ref="F6:F20" si="1">E6*D6/C6</f>
        <v>5.8349626221966613</v>
      </c>
      <c r="G6" s="3">
        <v>1965</v>
      </c>
      <c r="H6" s="23">
        <v>1739</v>
      </c>
      <c r="I6" s="4">
        <v>25.300000000000011</v>
      </c>
      <c r="J6">
        <v>365</v>
      </c>
      <c r="K6" s="6">
        <f t="shared" si="0"/>
        <v>5.3102357676825784</v>
      </c>
      <c r="L6" s="3">
        <v>1965</v>
      </c>
      <c r="M6" s="23">
        <v>1739</v>
      </c>
      <c r="N6" s="4">
        <v>24.300000000000011</v>
      </c>
      <c r="O6">
        <v>365</v>
      </c>
      <c r="P6" s="6">
        <f t="shared" ref="P6:P19" si="2">O6*N6/M6</f>
        <v>5.1003450258769432</v>
      </c>
      <c r="Q6" s="7"/>
      <c r="R6" s="7"/>
      <c r="S6" s="7"/>
      <c r="T6" s="7"/>
      <c r="U6" s="7"/>
      <c r="V6" s="109">
        <v>1988</v>
      </c>
      <c r="W6" s="4">
        <v>14.605</v>
      </c>
      <c r="X6" s="4">
        <v>15.59</v>
      </c>
    </row>
    <row r="7" spans="1:24" x14ac:dyDescent="0.25">
      <c r="A7">
        <v>1970</v>
      </c>
      <c r="B7" s="1">
        <v>25764</v>
      </c>
      <c r="C7" s="23">
        <v>1814</v>
      </c>
      <c r="D7" s="4">
        <v>25.799999999999983</v>
      </c>
      <c r="E7">
        <v>365</v>
      </c>
      <c r="F7" s="6">
        <f t="shared" si="1"/>
        <v>5.1912899669239216</v>
      </c>
      <c r="G7" s="3">
        <v>1970</v>
      </c>
      <c r="H7" s="23">
        <v>1814</v>
      </c>
      <c r="I7" s="4">
        <v>26.400000000000006</v>
      </c>
      <c r="J7">
        <v>365</v>
      </c>
      <c r="K7" s="6">
        <f t="shared" si="0"/>
        <v>5.3120176405733197</v>
      </c>
      <c r="L7" s="3">
        <v>1970</v>
      </c>
      <c r="M7" s="23">
        <v>1814</v>
      </c>
      <c r="N7" s="4">
        <v>24.099999999999966</v>
      </c>
      <c r="O7">
        <v>365</v>
      </c>
      <c r="P7" s="6">
        <f t="shared" si="2"/>
        <v>4.8492282249173027</v>
      </c>
      <c r="Q7" s="7"/>
      <c r="R7" s="7"/>
      <c r="S7" s="7"/>
      <c r="T7" s="7"/>
      <c r="U7" s="7"/>
      <c r="V7" s="109">
        <v>1989</v>
      </c>
      <c r="W7" s="4">
        <v>14.335000000000001</v>
      </c>
      <c r="X7" s="4">
        <v>15.23</v>
      </c>
    </row>
    <row r="8" spans="1:24" x14ac:dyDescent="0.25">
      <c r="A8">
        <v>1974</v>
      </c>
      <c r="B8" s="1">
        <v>27227</v>
      </c>
      <c r="C8" s="23">
        <v>1463</v>
      </c>
      <c r="D8" s="4">
        <v>23</v>
      </c>
      <c r="E8">
        <v>365</v>
      </c>
      <c r="F8" s="6">
        <f t="shared" si="1"/>
        <v>5.7382091592617908</v>
      </c>
      <c r="G8" s="3">
        <v>1974</v>
      </c>
      <c r="H8" s="23">
        <v>1463</v>
      </c>
      <c r="I8" s="4">
        <v>18.599999999999994</v>
      </c>
      <c r="J8">
        <v>365</v>
      </c>
      <c r="K8" s="6">
        <f t="shared" si="0"/>
        <v>4.6404647983595337</v>
      </c>
      <c r="L8" s="3">
        <v>1974</v>
      </c>
      <c r="M8" s="23">
        <v>1463</v>
      </c>
      <c r="N8" s="4">
        <v>19.100000000000023</v>
      </c>
      <c r="O8">
        <v>365</v>
      </c>
      <c r="P8" s="6">
        <f t="shared" si="2"/>
        <v>4.7652084757347968</v>
      </c>
      <c r="Q8" s="7"/>
      <c r="R8" s="7"/>
      <c r="S8" s="7"/>
      <c r="T8" s="7"/>
      <c r="U8" s="7"/>
      <c r="V8" s="109">
        <v>1990</v>
      </c>
      <c r="W8" s="4">
        <v>14.795</v>
      </c>
      <c r="X8" s="4">
        <v>15.31</v>
      </c>
    </row>
    <row r="9" spans="1:24" x14ac:dyDescent="0.25">
      <c r="A9">
        <v>1980</v>
      </c>
      <c r="B9" s="1">
        <v>29538</v>
      </c>
      <c r="C9" s="23">
        <v>2311</v>
      </c>
      <c r="D9" s="4">
        <v>24.580000000000013</v>
      </c>
      <c r="E9">
        <v>366</v>
      </c>
      <c r="F9" s="6">
        <f t="shared" si="1"/>
        <v>3.8928083080917371</v>
      </c>
      <c r="G9" s="3">
        <v>1980</v>
      </c>
      <c r="H9" s="23">
        <v>2311</v>
      </c>
      <c r="I9" s="4">
        <v>29.5</v>
      </c>
      <c r="J9">
        <v>366</v>
      </c>
      <c r="K9" s="6">
        <f t="shared" si="0"/>
        <v>4.6720034617048896</v>
      </c>
      <c r="L9" s="3">
        <v>1980</v>
      </c>
      <c r="M9" s="23">
        <v>2311</v>
      </c>
      <c r="N9" s="4">
        <v>21.430000000000007</v>
      </c>
      <c r="O9">
        <v>366</v>
      </c>
      <c r="P9" s="6">
        <f t="shared" si="2"/>
        <v>3.3939333621808752</v>
      </c>
      <c r="Q9" s="7"/>
      <c r="R9" s="7"/>
      <c r="S9" s="7"/>
      <c r="T9" s="7"/>
      <c r="U9" s="7"/>
      <c r="V9" s="109">
        <v>1991</v>
      </c>
      <c r="W9" s="4">
        <v>14.719999999999999</v>
      </c>
      <c r="X9" s="4">
        <v>16.04</v>
      </c>
    </row>
    <row r="10" spans="1:24" x14ac:dyDescent="0.25">
      <c r="A10">
        <v>1986</v>
      </c>
      <c r="B10" s="1">
        <v>31715</v>
      </c>
      <c r="C10" s="23">
        <v>2177</v>
      </c>
      <c r="D10" s="4">
        <v>21.319999999999993</v>
      </c>
      <c r="E10">
        <v>365</v>
      </c>
      <c r="F10" s="6">
        <f t="shared" si="1"/>
        <v>3.5745521359669259</v>
      </c>
      <c r="G10" s="3">
        <v>1986</v>
      </c>
      <c r="H10" s="23">
        <v>2177</v>
      </c>
      <c r="I10" s="4">
        <v>22.450000000000017</v>
      </c>
      <c r="J10">
        <v>365</v>
      </c>
      <c r="K10" s="6">
        <f t="shared" si="0"/>
        <v>3.7640101056499797</v>
      </c>
      <c r="L10" s="3">
        <v>1986</v>
      </c>
      <c r="M10" s="23">
        <v>2177</v>
      </c>
      <c r="N10" s="4">
        <v>24.369999999999976</v>
      </c>
      <c r="O10">
        <v>365</v>
      </c>
      <c r="P10" s="6">
        <f t="shared" si="2"/>
        <v>4.0859209921910846</v>
      </c>
      <c r="Q10" s="7"/>
      <c r="R10" s="7"/>
      <c r="S10" s="7"/>
      <c r="T10" s="7"/>
      <c r="U10" s="7"/>
      <c r="V10" s="109">
        <v>1992</v>
      </c>
      <c r="W10" s="4">
        <v>14.719999999999999</v>
      </c>
      <c r="X10" s="4">
        <v>15.21</v>
      </c>
    </row>
    <row r="11" spans="1:24" x14ac:dyDescent="0.25">
      <c r="A11">
        <v>1991</v>
      </c>
      <c r="B11" s="1">
        <v>33528</v>
      </c>
      <c r="C11" s="23">
        <v>1813</v>
      </c>
      <c r="D11" s="4">
        <v>21.700000000000003</v>
      </c>
      <c r="E11" s="21">
        <v>366</v>
      </c>
      <c r="F11" s="6">
        <f t="shared" si="1"/>
        <v>4.3806949806949813</v>
      </c>
      <c r="G11" s="3">
        <v>1991</v>
      </c>
      <c r="H11" s="23">
        <v>1813</v>
      </c>
      <c r="I11" s="4">
        <v>21.019999999999996</v>
      </c>
      <c r="J11" s="21">
        <v>366</v>
      </c>
      <c r="K11" s="6">
        <f t="shared" si="0"/>
        <v>4.2434197462768886</v>
      </c>
      <c r="L11" s="3">
        <v>1991</v>
      </c>
      <c r="M11" s="23">
        <v>1813</v>
      </c>
      <c r="N11" s="4">
        <v>23.070000000000022</v>
      </c>
      <c r="O11" s="21">
        <v>366</v>
      </c>
      <c r="P11" s="6">
        <f t="shared" si="2"/>
        <v>4.6572642029784932</v>
      </c>
      <c r="Q11" s="7"/>
      <c r="R11" s="7"/>
      <c r="S11" s="7"/>
      <c r="T11" s="7"/>
      <c r="U11" s="7"/>
      <c r="V11" s="109">
        <v>1993</v>
      </c>
      <c r="W11" s="4">
        <v>14.635000000000002</v>
      </c>
      <c r="X11" s="4">
        <v>15.219999999999999</v>
      </c>
    </row>
    <row r="12" spans="1:24" x14ac:dyDescent="0.25">
      <c r="A12">
        <v>1995</v>
      </c>
      <c r="B12" s="1">
        <v>34898</v>
      </c>
      <c r="C12" s="23">
        <v>1370</v>
      </c>
      <c r="D12" s="4">
        <v>20.03</v>
      </c>
      <c r="E12">
        <v>365</v>
      </c>
      <c r="F12" s="6">
        <f t="shared" si="1"/>
        <v>5.3364598540145991</v>
      </c>
      <c r="G12" s="3">
        <v>1995</v>
      </c>
      <c r="H12" s="23">
        <v>1370</v>
      </c>
      <c r="I12" s="4">
        <v>16.419999999999987</v>
      </c>
      <c r="J12">
        <v>365</v>
      </c>
      <c r="K12" s="6">
        <f t="shared" si="0"/>
        <v>4.3746715328467118</v>
      </c>
      <c r="L12" s="3">
        <v>1995</v>
      </c>
      <c r="M12" s="23">
        <v>1370</v>
      </c>
      <c r="N12" s="4">
        <v>17.72999999999999</v>
      </c>
      <c r="O12">
        <v>365</v>
      </c>
      <c r="P12" s="6">
        <f t="shared" si="2"/>
        <v>4.7236861313868586</v>
      </c>
      <c r="Q12" s="7"/>
      <c r="R12" s="7"/>
      <c r="S12" s="7"/>
      <c r="T12" s="7"/>
      <c r="U12" s="7"/>
      <c r="V12" s="109">
        <v>1994</v>
      </c>
      <c r="W12" s="4">
        <v>14.655000000000001</v>
      </c>
      <c r="X12" s="4">
        <v>15.34</v>
      </c>
    </row>
    <row r="13" spans="1:24" x14ac:dyDescent="0.25">
      <c r="A13">
        <v>1999</v>
      </c>
      <c r="B13" s="1">
        <v>36343</v>
      </c>
      <c r="C13" s="23">
        <v>1445</v>
      </c>
      <c r="D13" s="4">
        <v>7.6800000000000068</v>
      </c>
      <c r="E13">
        <v>365</v>
      </c>
      <c r="F13" s="6">
        <f t="shared" si="1"/>
        <v>1.9399307958477525</v>
      </c>
      <c r="G13" s="3">
        <v>1999</v>
      </c>
      <c r="H13" s="23">
        <v>1445</v>
      </c>
      <c r="I13" s="4">
        <v>13.910000000000011</v>
      </c>
      <c r="J13">
        <v>365</v>
      </c>
      <c r="K13" s="6">
        <f t="shared" si="0"/>
        <v>3.5135986159169579</v>
      </c>
      <c r="L13" s="3">
        <v>1999</v>
      </c>
      <c r="M13" s="23">
        <v>1445</v>
      </c>
      <c r="N13" s="4">
        <v>12.370000000000005</v>
      </c>
      <c r="O13">
        <v>365</v>
      </c>
      <c r="P13" s="6">
        <f t="shared" si="2"/>
        <v>3.1246020761245688</v>
      </c>
      <c r="Q13" s="7"/>
      <c r="R13" s="7"/>
      <c r="S13" s="7"/>
      <c r="T13" s="7"/>
      <c r="U13" s="7"/>
      <c r="V13" s="109">
        <v>1995</v>
      </c>
      <c r="W13" s="4">
        <v>14.75</v>
      </c>
      <c r="X13" s="4">
        <v>15.58</v>
      </c>
    </row>
    <row r="14" spans="1:24" x14ac:dyDescent="0.25">
      <c r="A14">
        <v>2000</v>
      </c>
      <c r="B14" s="1">
        <v>36714</v>
      </c>
      <c r="C14" s="23"/>
      <c r="D14" s="4"/>
      <c r="G14" s="3">
        <v>2000</v>
      </c>
      <c r="H14" s="23">
        <v>371</v>
      </c>
      <c r="I14" s="4">
        <v>4.8299999999999983</v>
      </c>
      <c r="J14">
        <v>366</v>
      </c>
      <c r="K14" s="6">
        <f t="shared" si="0"/>
        <v>4.764905660377357</v>
      </c>
      <c r="L14" s="3">
        <v>2000</v>
      </c>
      <c r="M14" s="23">
        <v>371</v>
      </c>
      <c r="N14" s="4">
        <v>5.1399999999999864</v>
      </c>
      <c r="O14">
        <v>366</v>
      </c>
      <c r="P14" s="6">
        <f t="shared" si="2"/>
        <v>5.0707277628032212</v>
      </c>
      <c r="Q14" s="7"/>
      <c r="R14" s="7"/>
      <c r="S14" s="7"/>
      <c r="T14" s="7"/>
      <c r="U14" s="7"/>
      <c r="V14" s="109">
        <v>1996</v>
      </c>
      <c r="W14" s="4">
        <v>14.524999999999999</v>
      </c>
      <c r="X14" s="4">
        <v>15.280000000000001</v>
      </c>
    </row>
    <row r="15" spans="1:24" x14ac:dyDescent="0.25">
      <c r="A15">
        <v>2001</v>
      </c>
      <c r="B15" s="1">
        <v>37079</v>
      </c>
      <c r="C15" s="23"/>
      <c r="D15" s="4"/>
      <c r="F15" s="5"/>
      <c r="G15" s="3">
        <v>2001</v>
      </c>
      <c r="H15" s="23"/>
      <c r="I15" s="4"/>
      <c r="K15" s="10"/>
      <c r="L15" s="3">
        <v>2001</v>
      </c>
      <c r="M15" s="23">
        <v>365</v>
      </c>
      <c r="N15" s="4">
        <v>3.4500000000000171</v>
      </c>
      <c r="O15">
        <v>365</v>
      </c>
      <c r="P15" s="6">
        <f t="shared" si="2"/>
        <v>3.4500000000000166</v>
      </c>
      <c r="Q15" s="7"/>
      <c r="R15" s="7"/>
      <c r="S15" s="7"/>
      <c r="T15" s="7"/>
      <c r="U15" s="7"/>
      <c r="V15" s="109">
        <v>1997</v>
      </c>
      <c r="W15" s="4">
        <v>14.685</v>
      </c>
      <c r="X15" s="4">
        <v>15.5</v>
      </c>
    </row>
    <row r="16" spans="1:24" x14ac:dyDescent="0.25">
      <c r="A16">
        <v>2005</v>
      </c>
      <c r="B16" s="1">
        <v>38636</v>
      </c>
      <c r="C16" s="23">
        <v>281</v>
      </c>
      <c r="D16" s="4">
        <v>3.2999999999999972</v>
      </c>
      <c r="E16">
        <v>365</v>
      </c>
      <c r="F16" s="6">
        <f t="shared" si="1"/>
        <v>4.2864768683273979</v>
      </c>
      <c r="G16" s="3">
        <v>2005</v>
      </c>
      <c r="H16" s="20">
        <v>1922</v>
      </c>
      <c r="I16" s="4">
        <v>17.86999999999999</v>
      </c>
      <c r="J16">
        <v>365</v>
      </c>
      <c r="K16" s="6">
        <f t="shared" si="0"/>
        <v>3.3936264308012469</v>
      </c>
      <c r="L16" s="3">
        <v>2005</v>
      </c>
      <c r="M16" s="23">
        <v>1557</v>
      </c>
      <c r="N16" s="4">
        <v>16.439999999999998</v>
      </c>
      <c r="O16">
        <v>365</v>
      </c>
      <c r="P16" s="6">
        <f t="shared" si="2"/>
        <v>3.8539499036608862</v>
      </c>
      <c r="Q16" s="7"/>
      <c r="R16" s="7"/>
      <c r="S16" s="7"/>
      <c r="T16" s="7"/>
      <c r="U16" s="7"/>
      <c r="V16" s="109">
        <v>1998</v>
      </c>
      <c r="W16" s="4">
        <v>14.68</v>
      </c>
      <c r="X16" s="4">
        <v>15.39</v>
      </c>
    </row>
    <row r="17" spans="1:24" x14ac:dyDescent="0.25">
      <c r="A17">
        <v>2006</v>
      </c>
      <c r="B17" s="1">
        <v>38917</v>
      </c>
      <c r="C17" s="23"/>
      <c r="D17" s="4"/>
      <c r="F17" s="5"/>
      <c r="G17" s="3">
        <v>2006</v>
      </c>
      <c r="H17" s="20"/>
      <c r="I17" s="4"/>
      <c r="K17" s="10"/>
      <c r="L17" s="3">
        <v>2006</v>
      </c>
      <c r="M17" s="23">
        <v>281</v>
      </c>
      <c r="N17" s="4">
        <v>2.1599999999999966</v>
      </c>
      <c r="O17">
        <v>365</v>
      </c>
      <c r="P17" s="6">
        <f t="shared" si="2"/>
        <v>2.8056939501779312</v>
      </c>
      <c r="Q17" s="7"/>
      <c r="R17" s="7"/>
      <c r="S17" s="7"/>
      <c r="T17" s="7"/>
      <c r="U17" s="7"/>
      <c r="V17" s="109">
        <v>1999</v>
      </c>
      <c r="W17" s="4">
        <v>14.654999999999999</v>
      </c>
      <c r="X17" s="4">
        <v>15.25</v>
      </c>
    </row>
    <row r="18" spans="1:24" x14ac:dyDescent="0.25">
      <c r="A18">
        <v>2006</v>
      </c>
      <c r="B18" s="1">
        <v>38993</v>
      </c>
      <c r="C18" s="23">
        <v>1094</v>
      </c>
      <c r="D18" s="4">
        <v>10.670000000000002</v>
      </c>
      <c r="E18">
        <v>365</v>
      </c>
      <c r="F18" s="6">
        <f t="shared" si="1"/>
        <v>3.5599177330895801</v>
      </c>
      <c r="G18" s="3">
        <v>2006</v>
      </c>
      <c r="H18" s="20">
        <v>357</v>
      </c>
      <c r="I18" s="4">
        <v>5.5100000000000051</v>
      </c>
      <c r="J18">
        <v>365</v>
      </c>
      <c r="K18" s="6">
        <f t="shared" si="0"/>
        <v>5.633473389355748</v>
      </c>
      <c r="L18" s="3">
        <v>2006</v>
      </c>
      <c r="M18" s="23"/>
      <c r="N18" s="4"/>
      <c r="P18" s="5"/>
      <c r="Q18" s="7"/>
      <c r="R18" s="7"/>
      <c r="S18" s="7"/>
      <c r="T18" s="7"/>
      <c r="U18" s="7"/>
      <c r="V18" s="109">
        <v>2000</v>
      </c>
      <c r="W18" s="4">
        <v>14.75</v>
      </c>
      <c r="X18" s="4">
        <v>15.31</v>
      </c>
    </row>
    <row r="19" spans="1:24" x14ac:dyDescent="0.25">
      <c r="A19">
        <v>2009</v>
      </c>
      <c r="B19" s="1">
        <v>40011</v>
      </c>
      <c r="C19" s="23">
        <v>1018</v>
      </c>
      <c r="D19" s="4">
        <v>9.1600000000000037</v>
      </c>
      <c r="E19">
        <v>365</v>
      </c>
      <c r="F19" s="6">
        <f t="shared" si="1"/>
        <v>3.2842829076620839</v>
      </c>
      <c r="G19" s="3">
        <v>2009</v>
      </c>
      <c r="H19" s="23">
        <v>1018</v>
      </c>
      <c r="I19" s="4">
        <v>11.219999999999999</v>
      </c>
      <c r="J19">
        <v>365</v>
      </c>
      <c r="K19" s="6">
        <f t="shared" si="0"/>
        <v>4.0228880157170916</v>
      </c>
      <c r="L19" s="3">
        <v>2009</v>
      </c>
      <c r="M19" s="23">
        <v>1094</v>
      </c>
      <c r="N19" s="4">
        <v>7.6399999999999864</v>
      </c>
      <c r="O19">
        <v>365</v>
      </c>
      <c r="P19" s="6">
        <f t="shared" si="2"/>
        <v>2.5489945155393006</v>
      </c>
      <c r="Q19" s="7"/>
      <c r="R19" s="7"/>
      <c r="S19" s="7"/>
      <c r="T19" s="7"/>
      <c r="U19" s="7"/>
      <c r="V19" s="109">
        <v>2001</v>
      </c>
      <c r="W19" s="4">
        <v>14.895</v>
      </c>
      <c r="X19" s="4">
        <v>15.600000000000001</v>
      </c>
    </row>
    <row r="20" spans="1:24" x14ac:dyDescent="0.25">
      <c r="A20">
        <v>2010</v>
      </c>
      <c r="B20" s="1">
        <v>40381</v>
      </c>
      <c r="C20" s="23">
        <v>370</v>
      </c>
      <c r="D20" s="4">
        <v>2.2900000000000027</v>
      </c>
      <c r="E20">
        <v>365</v>
      </c>
      <c r="F20" s="6">
        <f t="shared" si="1"/>
        <v>2.2590540540540567</v>
      </c>
      <c r="G20" s="3">
        <v>2010</v>
      </c>
      <c r="H20" s="23">
        <v>370</v>
      </c>
      <c r="I20" s="4">
        <v>1.0400000000000063</v>
      </c>
      <c r="J20">
        <v>365</v>
      </c>
      <c r="K20" s="10">
        <f t="shared" si="0"/>
        <v>1.0259459459459521</v>
      </c>
      <c r="L20" s="3">
        <v>2010</v>
      </c>
      <c r="M20" s="23"/>
      <c r="P20" s="5"/>
      <c r="Q20" s="7"/>
      <c r="R20" s="7"/>
      <c r="S20" s="7"/>
      <c r="T20" s="7"/>
      <c r="U20" s="7"/>
      <c r="V20" s="109">
        <v>2002</v>
      </c>
      <c r="W20" s="4">
        <v>14.825000000000001</v>
      </c>
      <c r="X20" s="4">
        <v>15.3</v>
      </c>
    </row>
    <row r="21" spans="1:24" x14ac:dyDescent="0.25">
      <c r="A21">
        <v>2011</v>
      </c>
      <c r="B21" s="1">
        <v>40799</v>
      </c>
      <c r="C21" s="23">
        <v>418</v>
      </c>
      <c r="D21" s="4">
        <v>1.1799999999999997</v>
      </c>
      <c r="E21" s="21">
        <v>365</v>
      </c>
      <c r="F21" s="6">
        <f>E21*D21/C21</f>
        <v>1.0303827751196168</v>
      </c>
      <c r="G21" s="3">
        <v>2011</v>
      </c>
      <c r="H21" s="7">
        <f>B21-B20</f>
        <v>418</v>
      </c>
      <c r="I21" s="9">
        <v>0.28000000000000003</v>
      </c>
      <c r="J21" s="4">
        <v>366</v>
      </c>
      <c r="K21" s="10">
        <f t="shared" ref="K21" si="3">J21*I21/H21</f>
        <v>0.24516746411483253</v>
      </c>
      <c r="L21" s="3">
        <v>2011</v>
      </c>
      <c r="M21" s="23">
        <v>418</v>
      </c>
      <c r="N21">
        <v>0.65999999999999659</v>
      </c>
      <c r="O21" s="21">
        <v>365</v>
      </c>
      <c r="P21" s="5">
        <f t="shared" ref="P21" si="4">O21*N21/M21</f>
        <v>0.57631578947368123</v>
      </c>
      <c r="Q21" s="8"/>
      <c r="R21" s="9"/>
      <c r="S21" s="9"/>
      <c r="T21" s="9"/>
      <c r="U21" s="10"/>
      <c r="V21" s="109">
        <v>2003</v>
      </c>
      <c r="W21" s="4">
        <v>14.89</v>
      </c>
      <c r="X21" s="4">
        <v>15.370000000000001</v>
      </c>
    </row>
    <row r="22" spans="1:24" x14ac:dyDescent="0.25">
      <c r="A22">
        <v>2012</v>
      </c>
      <c r="B22" s="1">
        <v>41177</v>
      </c>
      <c r="C22" s="21">
        <v>378</v>
      </c>
      <c r="D22" s="4">
        <v>0.67999999999999972</v>
      </c>
      <c r="E22" s="21">
        <v>366</v>
      </c>
      <c r="F22" s="5">
        <f>E22*D22/C22</f>
        <v>0.65841269841269812</v>
      </c>
      <c r="G22" s="3">
        <v>2012</v>
      </c>
      <c r="H22" s="7"/>
      <c r="I22" s="9"/>
      <c r="J22" s="4"/>
      <c r="K22" s="10"/>
      <c r="L22" s="3">
        <v>2012</v>
      </c>
      <c r="M22" s="23"/>
      <c r="O22" s="21"/>
      <c r="P22" s="5"/>
      <c r="Q22" s="8"/>
      <c r="R22" s="9"/>
      <c r="S22" s="9"/>
      <c r="T22" s="9"/>
      <c r="U22" s="10"/>
      <c r="V22" s="109">
        <v>2004</v>
      </c>
      <c r="W22" s="4">
        <v>14.805</v>
      </c>
      <c r="X22" s="4">
        <v>15.32</v>
      </c>
    </row>
    <row r="23" spans="1:24" x14ac:dyDescent="0.25">
      <c r="A23">
        <v>2013</v>
      </c>
      <c r="B23" s="1">
        <v>41467</v>
      </c>
      <c r="C23" s="21">
        <v>290</v>
      </c>
      <c r="D23" s="4">
        <v>1.370000000000001</v>
      </c>
      <c r="E23" s="21">
        <v>365</v>
      </c>
      <c r="F23" s="6">
        <f t="shared" ref="F23:F25" si="5">E23*D23/C23</f>
        <v>1.7243103448275874</v>
      </c>
      <c r="G23" s="3">
        <v>2013</v>
      </c>
      <c r="H23" s="7">
        <f>B23-B22</f>
        <v>290</v>
      </c>
      <c r="I23" s="9">
        <v>3.52</v>
      </c>
      <c r="J23" s="4">
        <v>365</v>
      </c>
      <c r="K23" s="6">
        <f t="shared" ref="K23:K28" si="6">J23*I23/H23</f>
        <v>4.4303448275862065</v>
      </c>
      <c r="L23" s="3">
        <v>2013</v>
      </c>
      <c r="M23" s="23">
        <v>668</v>
      </c>
      <c r="N23">
        <v>4.6799999999999926</v>
      </c>
      <c r="O23" s="21">
        <v>365</v>
      </c>
      <c r="P23" s="6">
        <f t="shared" ref="P23:P28" si="7">O23*N23/M23</f>
        <v>2.557185628742511</v>
      </c>
      <c r="Q23" s="8"/>
      <c r="R23" s="9"/>
      <c r="S23" s="9"/>
      <c r="T23" s="9"/>
      <c r="U23" s="10"/>
      <c r="V23" s="109">
        <v>2005</v>
      </c>
      <c r="W23" s="4">
        <v>14.93</v>
      </c>
      <c r="X23" s="4">
        <v>15.77</v>
      </c>
    </row>
    <row r="24" spans="1:24" x14ac:dyDescent="0.25">
      <c r="A24">
        <v>2015</v>
      </c>
      <c r="B24" s="1">
        <v>42199</v>
      </c>
      <c r="C24" s="21">
        <v>732</v>
      </c>
      <c r="D24" s="4">
        <v>2.2299999999999969</v>
      </c>
      <c r="E24" s="21">
        <v>365</v>
      </c>
      <c r="F24" s="10">
        <f t="shared" si="5"/>
        <v>1.1119535519125667</v>
      </c>
      <c r="G24" s="3">
        <v>2015</v>
      </c>
      <c r="H24" s="7"/>
      <c r="I24" s="7"/>
      <c r="J24" s="4"/>
      <c r="K24" s="10"/>
      <c r="L24" s="3">
        <v>2015</v>
      </c>
      <c r="M24" s="23">
        <v>732</v>
      </c>
      <c r="N24">
        <v>5.5699999999999932</v>
      </c>
      <c r="O24" s="21">
        <v>365</v>
      </c>
      <c r="P24" s="6">
        <f t="shared" si="7"/>
        <v>2.7773907103825102</v>
      </c>
      <c r="Q24" s="8"/>
      <c r="R24" s="9"/>
      <c r="S24" s="9"/>
      <c r="T24" s="9"/>
      <c r="U24" s="10"/>
      <c r="V24" s="109">
        <v>2006</v>
      </c>
      <c r="W24" s="4">
        <v>14.81</v>
      </c>
      <c r="X24" s="4">
        <v>15.5</v>
      </c>
    </row>
    <row r="25" spans="1:24" x14ac:dyDescent="0.25">
      <c r="A25">
        <v>2016</v>
      </c>
      <c r="B25" s="1">
        <v>42516</v>
      </c>
      <c r="C25" s="21">
        <v>317</v>
      </c>
      <c r="D25" s="4">
        <v>2.1799999999999997</v>
      </c>
      <c r="E25" s="21">
        <v>366</v>
      </c>
      <c r="F25" s="6">
        <f t="shared" si="5"/>
        <v>2.5169716088328071</v>
      </c>
      <c r="G25" s="3">
        <v>2016</v>
      </c>
      <c r="H25" s="7">
        <f>B25-B23</f>
        <v>1049</v>
      </c>
      <c r="I25" s="7">
        <v>3.86</v>
      </c>
      <c r="J25" s="4">
        <v>366</v>
      </c>
      <c r="K25" s="10">
        <f t="shared" si="6"/>
        <v>1.3467683508102954</v>
      </c>
      <c r="L25" s="3">
        <v>2016</v>
      </c>
      <c r="M25" s="23">
        <v>317</v>
      </c>
      <c r="N25">
        <v>2.4500000000000171</v>
      </c>
      <c r="O25" s="21">
        <v>366</v>
      </c>
      <c r="P25" s="6">
        <f t="shared" si="7"/>
        <v>2.8287066246056978</v>
      </c>
      <c r="Q25" s="8"/>
      <c r="R25" s="9"/>
      <c r="S25" s="9"/>
      <c r="T25" s="9"/>
      <c r="U25" s="10"/>
      <c r="V25" s="109">
        <v>2007</v>
      </c>
      <c r="W25" s="4">
        <v>14.79</v>
      </c>
      <c r="X25" s="4">
        <v>15.41</v>
      </c>
    </row>
    <row r="26" spans="1:24" x14ac:dyDescent="0.25">
      <c r="A26">
        <v>2021</v>
      </c>
      <c r="B26" s="1">
        <v>44385</v>
      </c>
      <c r="C26" s="4"/>
      <c r="D26" s="4"/>
      <c r="E26" s="4"/>
      <c r="G26" s="3">
        <v>2021</v>
      </c>
      <c r="H26" s="7">
        <f>B26-B25</f>
        <v>1869</v>
      </c>
      <c r="I26" s="7">
        <v>13.67</v>
      </c>
      <c r="J26" s="4">
        <v>365</v>
      </c>
      <c r="K26" s="6">
        <f t="shared" si="6"/>
        <v>2.6696361690743715</v>
      </c>
      <c r="L26" s="3">
        <v>2021</v>
      </c>
      <c r="M26" s="23">
        <v>1869</v>
      </c>
      <c r="N26">
        <v>14.259999999999991</v>
      </c>
      <c r="O26" s="21">
        <v>365</v>
      </c>
      <c r="P26" s="6">
        <f t="shared" si="7"/>
        <v>2.784858212948099</v>
      </c>
      <c r="Q26" s="8"/>
      <c r="R26" s="9"/>
      <c r="S26" s="9"/>
      <c r="T26" s="9"/>
      <c r="U26" s="10"/>
      <c r="V26" s="109">
        <v>2008</v>
      </c>
      <c r="W26" s="4">
        <v>14.73</v>
      </c>
      <c r="X26" s="4">
        <v>15.690000000000001</v>
      </c>
    </row>
    <row r="27" spans="1:24" x14ac:dyDescent="0.25">
      <c r="A27">
        <v>2022</v>
      </c>
      <c r="B27" s="1">
        <v>44846</v>
      </c>
      <c r="C27" s="4"/>
      <c r="D27" s="4"/>
      <c r="E27" s="4"/>
      <c r="G27" s="3">
        <v>2022</v>
      </c>
      <c r="H27" s="7">
        <f>B27-B26</f>
        <v>461</v>
      </c>
      <c r="I27" s="7">
        <v>3.04</v>
      </c>
      <c r="J27" s="4">
        <v>365</v>
      </c>
      <c r="K27" s="6">
        <f t="shared" si="6"/>
        <v>2.406941431670282</v>
      </c>
      <c r="L27" s="3">
        <v>2022</v>
      </c>
      <c r="M27" s="25">
        <v>461</v>
      </c>
      <c r="N27">
        <v>2.04</v>
      </c>
      <c r="O27" s="21">
        <v>365</v>
      </c>
      <c r="P27" s="10">
        <f t="shared" si="7"/>
        <v>1.6151843817787419</v>
      </c>
      <c r="Q27" s="8"/>
      <c r="R27" s="9"/>
      <c r="S27" s="9"/>
      <c r="T27" s="9"/>
      <c r="U27" s="10"/>
      <c r="V27" s="109">
        <v>2009</v>
      </c>
      <c r="W27" s="4">
        <v>14.705</v>
      </c>
      <c r="X27" s="4">
        <v>15.45</v>
      </c>
    </row>
    <row r="28" spans="1:24" x14ac:dyDescent="0.25">
      <c r="A28">
        <v>2024</v>
      </c>
      <c r="B28" s="1">
        <v>45489</v>
      </c>
      <c r="C28" s="4"/>
      <c r="D28" s="4"/>
      <c r="E28" s="4"/>
      <c r="G28" s="3">
        <v>2024</v>
      </c>
      <c r="H28" s="7">
        <f>B28-B27</f>
        <v>643</v>
      </c>
      <c r="I28" s="7">
        <v>2.25</v>
      </c>
      <c r="J28" s="4">
        <v>366</v>
      </c>
      <c r="K28" s="10">
        <f t="shared" si="6"/>
        <v>1.2807153965785381</v>
      </c>
      <c r="L28" s="3">
        <v>2024</v>
      </c>
      <c r="M28" s="25">
        <v>643</v>
      </c>
      <c r="N28">
        <v>4.76</v>
      </c>
      <c r="O28" s="21">
        <v>366</v>
      </c>
      <c r="P28" s="6">
        <f t="shared" si="7"/>
        <v>2.7094245723172627</v>
      </c>
      <c r="Q28" s="8"/>
      <c r="R28" s="9"/>
      <c r="S28" s="9"/>
      <c r="T28" s="9"/>
      <c r="U28" s="10"/>
      <c r="V28" s="109">
        <v>2010</v>
      </c>
      <c r="W28" s="4">
        <v>14.365</v>
      </c>
      <c r="X28" s="4">
        <v>15.600000000000001</v>
      </c>
    </row>
    <row r="29" spans="1:24" x14ac:dyDescent="0.25">
      <c r="K29" s="7"/>
      <c r="Q29" s="7"/>
      <c r="R29" s="7"/>
      <c r="S29" s="7"/>
      <c r="T29" s="7"/>
      <c r="U29" s="7"/>
      <c r="V29" s="109">
        <v>2011</v>
      </c>
      <c r="W29" s="4">
        <v>14.405000000000001</v>
      </c>
      <c r="X29" s="4">
        <v>15.49</v>
      </c>
    </row>
    <row r="30" spans="1:24" x14ac:dyDescent="0.25">
      <c r="E30" s="3" t="s">
        <v>23</v>
      </c>
      <c r="F30" s="5">
        <f>AVERAGE(F16:F25)</f>
        <v>2.2701958380264884</v>
      </c>
      <c r="G30" s="4"/>
      <c r="H30" s="4"/>
      <c r="I30" s="4"/>
      <c r="J30" s="4"/>
      <c r="K30" s="5">
        <f>AVERAGE(K16:K26)</f>
        <v>2.8459813241757184</v>
      </c>
      <c r="L30" s="4"/>
      <c r="M30" s="4"/>
      <c r="N30" s="4"/>
      <c r="O30" s="4"/>
      <c r="P30" s="5">
        <f>AVERAGE(P14:P26)</f>
        <v>2.9253823098333851</v>
      </c>
      <c r="Q30" s="7"/>
      <c r="R30" s="7"/>
      <c r="S30" s="7"/>
      <c r="T30" s="7"/>
      <c r="U30" s="7"/>
      <c r="V30" s="109">
        <v>2012</v>
      </c>
      <c r="W30" s="4">
        <v>14.625</v>
      </c>
      <c r="X30" s="4">
        <v>15.52</v>
      </c>
    </row>
    <row r="31" spans="1:24" x14ac:dyDescent="0.25">
      <c r="E31" s="4"/>
      <c r="V31" s="109">
        <v>2013</v>
      </c>
      <c r="W31" s="4">
        <v>14.755000000000001</v>
      </c>
      <c r="X31" s="4">
        <v>15.370000000000001</v>
      </c>
    </row>
    <row r="32" spans="1:24" x14ac:dyDescent="0.25">
      <c r="E32" s="3" t="s">
        <v>27</v>
      </c>
      <c r="F32" s="5">
        <f>MAX(F14:F26)</f>
        <v>4.2864768683273979</v>
      </c>
      <c r="K32" s="5">
        <f>MAX(K16:K26)</f>
        <v>5.633473389355748</v>
      </c>
      <c r="P32" s="5">
        <f>MAX(P14:P26)</f>
        <v>5.0707277628032212</v>
      </c>
      <c r="V32" s="109">
        <v>2014</v>
      </c>
      <c r="W32" s="4">
        <v>14.52</v>
      </c>
      <c r="X32" s="4">
        <v>15.45</v>
      </c>
    </row>
    <row r="33" spans="1:24" x14ac:dyDescent="0.25">
      <c r="V33" s="109">
        <v>2015</v>
      </c>
      <c r="W33" s="4">
        <v>14.55</v>
      </c>
      <c r="X33" s="4">
        <v>15.18</v>
      </c>
    </row>
    <row r="34" spans="1:24" x14ac:dyDescent="0.25">
      <c r="D34" s="3" t="s">
        <v>28</v>
      </c>
      <c r="I34" s="3" t="s">
        <v>37</v>
      </c>
      <c r="P34" s="3" t="s">
        <v>29</v>
      </c>
      <c r="V34" s="109">
        <v>2016</v>
      </c>
      <c r="W34" s="4">
        <v>14.785</v>
      </c>
      <c r="X34" s="4">
        <v>15.600000000000001</v>
      </c>
    </row>
    <row r="35" spans="1:24" x14ac:dyDescent="0.25">
      <c r="F35" t="s">
        <v>50</v>
      </c>
      <c r="L35" t="s">
        <v>50</v>
      </c>
      <c r="S35" t="s">
        <v>50</v>
      </c>
      <c r="V35" s="109">
        <v>2017</v>
      </c>
      <c r="W35" s="4">
        <v>14.78</v>
      </c>
      <c r="X35" s="4">
        <v>15.45</v>
      </c>
    </row>
    <row r="36" spans="1:24" x14ac:dyDescent="0.25">
      <c r="A36" s="3">
        <v>1958</v>
      </c>
      <c r="B36" s="1">
        <v>21456</v>
      </c>
      <c r="D36">
        <v>0</v>
      </c>
      <c r="F36" s="3">
        <v>0</v>
      </c>
      <c r="G36" s="3">
        <v>1958</v>
      </c>
      <c r="H36" s="1">
        <v>21456</v>
      </c>
      <c r="J36" s="4">
        <v>0</v>
      </c>
      <c r="L36" s="3">
        <v>0</v>
      </c>
      <c r="N36" s="3">
        <v>1958</v>
      </c>
      <c r="O36" s="1">
        <v>21456</v>
      </c>
      <c r="Q36" s="106">
        <v>0</v>
      </c>
      <c r="S36" s="3">
        <v>0</v>
      </c>
      <c r="V36" s="109">
        <v>2018</v>
      </c>
      <c r="W36" s="4">
        <v>14.64</v>
      </c>
      <c r="X36" s="4">
        <v>15.2</v>
      </c>
    </row>
    <row r="37" spans="1:24" x14ac:dyDescent="0.25">
      <c r="A37" s="3">
        <v>1960</v>
      </c>
      <c r="B37" s="1">
        <v>22211</v>
      </c>
      <c r="D37" s="4">
        <v>8.4000000000000341</v>
      </c>
      <c r="F37" s="5">
        <f>F36+D37</f>
        <v>8.4000000000000341</v>
      </c>
      <c r="G37" s="3">
        <v>1960</v>
      </c>
      <c r="H37" s="1">
        <v>22211</v>
      </c>
      <c r="J37" s="4">
        <v>8.0999999999999659</v>
      </c>
      <c r="L37" s="5">
        <f>L36+J37</f>
        <v>8.0999999999999659</v>
      </c>
      <c r="N37" s="3">
        <v>1960</v>
      </c>
      <c r="O37" s="1">
        <v>22211</v>
      </c>
      <c r="Q37" s="107">
        <v>12.400000000000034</v>
      </c>
      <c r="S37" s="5">
        <f>S36+Q37</f>
        <v>12.400000000000034</v>
      </c>
    </row>
    <row r="38" spans="1:24" x14ac:dyDescent="0.25">
      <c r="A38" s="3">
        <v>1965</v>
      </c>
      <c r="B38" s="1">
        <v>23950</v>
      </c>
      <c r="D38" s="4">
        <v>27.799999999999983</v>
      </c>
      <c r="F38" s="5">
        <f t="shared" ref="F38:F54" si="8">F37+D38</f>
        <v>36.200000000000017</v>
      </c>
      <c r="G38" s="3">
        <v>1965</v>
      </c>
      <c r="H38" s="1">
        <v>23950</v>
      </c>
      <c r="J38" s="4">
        <v>25.300000000000011</v>
      </c>
      <c r="L38" s="5">
        <f t="shared" ref="L38:L56" si="9">L37+J38</f>
        <v>33.399999999999977</v>
      </c>
      <c r="N38" s="3">
        <v>1965</v>
      </c>
      <c r="O38" s="1">
        <v>23950</v>
      </c>
      <c r="Q38" s="107">
        <v>24.300000000000011</v>
      </c>
      <c r="S38" s="5">
        <f t="shared" ref="S38:S57" si="10">S37+Q38</f>
        <v>36.700000000000045</v>
      </c>
    </row>
    <row r="39" spans="1:24" x14ac:dyDescent="0.25">
      <c r="A39" s="3">
        <v>1970</v>
      </c>
      <c r="B39" s="1">
        <v>25764</v>
      </c>
      <c r="D39" s="4">
        <v>25.799999999999983</v>
      </c>
      <c r="F39" s="5">
        <f t="shared" si="8"/>
        <v>62</v>
      </c>
      <c r="G39" s="3">
        <v>1970</v>
      </c>
      <c r="H39" s="1">
        <v>25764</v>
      </c>
      <c r="J39" s="4">
        <v>26.400000000000006</v>
      </c>
      <c r="L39" s="5">
        <f t="shared" si="9"/>
        <v>59.799999999999983</v>
      </c>
      <c r="N39" s="3">
        <v>1970</v>
      </c>
      <c r="O39" s="1">
        <v>25764</v>
      </c>
      <c r="Q39" s="107">
        <v>24.099999999999966</v>
      </c>
      <c r="S39" s="5">
        <f t="shared" si="10"/>
        <v>60.800000000000011</v>
      </c>
    </row>
    <row r="40" spans="1:24" x14ac:dyDescent="0.25">
      <c r="A40" s="3">
        <v>1974</v>
      </c>
      <c r="B40" s="1">
        <v>27227</v>
      </c>
      <c r="D40" s="4">
        <v>23</v>
      </c>
      <c r="F40" s="5">
        <f t="shared" si="8"/>
        <v>85</v>
      </c>
      <c r="G40" s="3">
        <v>1974</v>
      </c>
      <c r="H40" s="1">
        <v>27227</v>
      </c>
      <c r="J40" s="4">
        <v>18.599999999999994</v>
      </c>
      <c r="L40" s="5">
        <f t="shared" si="9"/>
        <v>78.399999999999977</v>
      </c>
      <c r="N40" s="3">
        <v>1974</v>
      </c>
      <c r="O40" s="1">
        <v>27227</v>
      </c>
      <c r="Q40" s="107">
        <v>19.100000000000023</v>
      </c>
      <c r="S40" s="5">
        <f t="shared" si="10"/>
        <v>79.900000000000034</v>
      </c>
    </row>
    <row r="41" spans="1:24" x14ac:dyDescent="0.25">
      <c r="A41" s="3">
        <v>1980</v>
      </c>
      <c r="B41" s="1">
        <v>29538</v>
      </c>
      <c r="D41" s="4">
        <v>24.580000000000013</v>
      </c>
      <c r="F41" s="5">
        <f t="shared" si="8"/>
        <v>109.58000000000001</v>
      </c>
      <c r="G41" s="3">
        <v>1980</v>
      </c>
      <c r="H41" s="108">
        <v>29538</v>
      </c>
      <c r="J41" s="4">
        <v>29.5</v>
      </c>
      <c r="L41" s="5">
        <f t="shared" si="9"/>
        <v>107.89999999999998</v>
      </c>
      <c r="N41" s="3">
        <v>1980</v>
      </c>
      <c r="O41" s="1">
        <v>29538</v>
      </c>
      <c r="Q41" s="107">
        <v>21.430000000000007</v>
      </c>
      <c r="S41" s="5">
        <f t="shared" si="10"/>
        <v>101.33000000000004</v>
      </c>
    </row>
    <row r="42" spans="1:24" x14ac:dyDescent="0.25">
      <c r="A42" s="3">
        <v>1986</v>
      </c>
      <c r="B42" s="1">
        <v>31715</v>
      </c>
      <c r="D42" s="4">
        <v>21.319999999999993</v>
      </c>
      <c r="F42" s="5">
        <f t="shared" si="8"/>
        <v>130.9</v>
      </c>
      <c r="G42" s="88">
        <v>1986</v>
      </c>
      <c r="H42" s="1">
        <v>31715</v>
      </c>
      <c r="J42" s="4">
        <v>22.450000000000017</v>
      </c>
      <c r="L42" s="5">
        <f t="shared" si="9"/>
        <v>130.35</v>
      </c>
      <c r="N42" s="3">
        <v>1986</v>
      </c>
      <c r="O42" s="1">
        <v>31715</v>
      </c>
      <c r="Q42" s="107">
        <v>24.369999999999976</v>
      </c>
      <c r="S42" s="5">
        <f t="shared" si="10"/>
        <v>125.70000000000002</v>
      </c>
    </row>
    <row r="43" spans="1:24" x14ac:dyDescent="0.25">
      <c r="A43" s="3">
        <v>1991</v>
      </c>
      <c r="B43" s="1">
        <v>33528</v>
      </c>
      <c r="D43" s="4">
        <v>21.700000000000003</v>
      </c>
      <c r="F43" s="5">
        <f t="shared" si="8"/>
        <v>152.60000000000002</v>
      </c>
      <c r="G43" s="88">
        <v>1991</v>
      </c>
      <c r="H43" s="1">
        <v>33528</v>
      </c>
      <c r="J43" s="4">
        <v>21.019999999999996</v>
      </c>
      <c r="L43" s="5">
        <f t="shared" si="9"/>
        <v>151.37</v>
      </c>
      <c r="N43" s="3">
        <v>1991</v>
      </c>
      <c r="O43" s="1">
        <v>33528</v>
      </c>
      <c r="Q43" s="107">
        <v>23.070000000000022</v>
      </c>
      <c r="S43" s="5">
        <f t="shared" si="10"/>
        <v>148.77000000000004</v>
      </c>
    </row>
    <row r="44" spans="1:24" x14ac:dyDescent="0.25">
      <c r="A44" s="3">
        <v>1995</v>
      </c>
      <c r="B44" s="1">
        <v>34898</v>
      </c>
      <c r="D44" s="4">
        <v>20.03</v>
      </c>
      <c r="F44" s="5">
        <f t="shared" si="8"/>
        <v>172.63000000000002</v>
      </c>
      <c r="G44" s="88">
        <v>1995</v>
      </c>
      <c r="H44" s="1">
        <v>34898</v>
      </c>
      <c r="J44" s="4">
        <v>16.419999999999987</v>
      </c>
      <c r="L44" s="5">
        <f t="shared" si="9"/>
        <v>167.79</v>
      </c>
      <c r="N44" s="3">
        <v>1995</v>
      </c>
      <c r="O44" s="1">
        <v>34898</v>
      </c>
      <c r="Q44" s="107">
        <v>17.72999999999999</v>
      </c>
      <c r="S44" s="5">
        <f t="shared" si="10"/>
        <v>166.50000000000003</v>
      </c>
    </row>
    <row r="45" spans="1:24" x14ac:dyDescent="0.25">
      <c r="A45" s="3">
        <v>1999</v>
      </c>
      <c r="B45" s="1">
        <v>36343</v>
      </c>
      <c r="D45" s="4">
        <v>7.6800000000000068</v>
      </c>
      <c r="F45" s="5">
        <f t="shared" si="8"/>
        <v>180.31000000000003</v>
      </c>
      <c r="G45" s="88">
        <v>1999</v>
      </c>
      <c r="H45" s="1">
        <v>36343</v>
      </c>
      <c r="J45" s="4">
        <v>13.910000000000011</v>
      </c>
      <c r="L45" s="5">
        <f t="shared" si="9"/>
        <v>181.7</v>
      </c>
      <c r="N45" s="3">
        <v>1999</v>
      </c>
      <c r="O45" s="1">
        <v>36343</v>
      </c>
      <c r="Q45" s="107">
        <v>12.370000000000005</v>
      </c>
      <c r="S45" s="5">
        <f t="shared" si="10"/>
        <v>178.87000000000003</v>
      </c>
    </row>
    <row r="46" spans="1:24" x14ac:dyDescent="0.25">
      <c r="A46" s="3">
        <v>2005</v>
      </c>
      <c r="B46" s="1">
        <v>38636</v>
      </c>
      <c r="D46" s="4">
        <v>3.2999999999999972</v>
      </c>
      <c r="F46" s="5">
        <f t="shared" si="8"/>
        <v>183.61</v>
      </c>
      <c r="G46" s="88">
        <v>2000</v>
      </c>
      <c r="H46" s="1">
        <v>36714</v>
      </c>
      <c r="J46" s="4">
        <v>4.8299999999999983</v>
      </c>
      <c r="L46" s="5">
        <f t="shared" si="9"/>
        <v>186.52999999999997</v>
      </c>
      <c r="N46" s="3">
        <v>2000</v>
      </c>
      <c r="O46" s="1">
        <v>36714</v>
      </c>
      <c r="Q46" s="107">
        <v>5.1399999999999864</v>
      </c>
      <c r="S46" s="5">
        <f t="shared" si="10"/>
        <v>184.01000000000002</v>
      </c>
    </row>
    <row r="47" spans="1:24" x14ac:dyDescent="0.25">
      <c r="A47" s="3">
        <v>2006</v>
      </c>
      <c r="B47" s="1">
        <v>38993</v>
      </c>
      <c r="D47" s="4">
        <v>10.670000000000002</v>
      </c>
      <c r="F47" s="5">
        <f t="shared" si="8"/>
        <v>194.28000000000003</v>
      </c>
      <c r="G47" s="88">
        <v>2005</v>
      </c>
      <c r="H47" s="1">
        <v>38636</v>
      </c>
      <c r="J47" s="4">
        <v>17.86999999999999</v>
      </c>
      <c r="L47" s="5">
        <f t="shared" si="9"/>
        <v>204.39999999999998</v>
      </c>
      <c r="N47" s="3">
        <v>2001</v>
      </c>
      <c r="O47" s="1">
        <v>37079</v>
      </c>
      <c r="Q47" s="107">
        <v>3.4500000000000171</v>
      </c>
      <c r="S47" s="5">
        <f t="shared" si="10"/>
        <v>187.46000000000004</v>
      </c>
    </row>
    <row r="48" spans="1:24" x14ac:dyDescent="0.25">
      <c r="A48" s="3">
        <v>2009</v>
      </c>
      <c r="B48" s="1">
        <v>40011</v>
      </c>
      <c r="D48" s="4">
        <v>9.1600000000000037</v>
      </c>
      <c r="F48" s="5">
        <f t="shared" si="8"/>
        <v>203.44000000000003</v>
      </c>
      <c r="G48" s="88">
        <v>2006</v>
      </c>
      <c r="H48" s="1">
        <v>38993</v>
      </c>
      <c r="J48" s="4">
        <v>5.5100000000000051</v>
      </c>
      <c r="L48" s="5">
        <f t="shared" si="9"/>
        <v>209.90999999999997</v>
      </c>
      <c r="N48" s="3">
        <v>2005</v>
      </c>
      <c r="O48" s="1">
        <v>38636</v>
      </c>
      <c r="Q48" s="107">
        <v>16.439999999999998</v>
      </c>
      <c r="S48" s="5">
        <f t="shared" si="10"/>
        <v>203.90000000000003</v>
      </c>
    </row>
    <row r="49" spans="1:19" x14ac:dyDescent="0.25">
      <c r="A49" s="3">
        <v>2010</v>
      </c>
      <c r="B49" s="1">
        <v>40381</v>
      </c>
      <c r="D49" s="4">
        <v>2.2900000000000027</v>
      </c>
      <c r="F49" s="5">
        <f t="shared" si="8"/>
        <v>205.73000000000002</v>
      </c>
      <c r="G49" s="88">
        <v>2009</v>
      </c>
      <c r="H49" s="1">
        <v>40011</v>
      </c>
      <c r="J49" s="4">
        <v>11.219999999999999</v>
      </c>
      <c r="L49" s="5">
        <f t="shared" si="9"/>
        <v>221.12999999999997</v>
      </c>
      <c r="N49" s="3">
        <v>2006</v>
      </c>
      <c r="O49" s="1">
        <v>38917</v>
      </c>
      <c r="Q49" s="107">
        <v>2.1599999999999966</v>
      </c>
      <c r="S49" s="5">
        <f t="shared" si="10"/>
        <v>206.06000000000003</v>
      </c>
    </row>
    <row r="50" spans="1:19" x14ac:dyDescent="0.25">
      <c r="A50" s="3">
        <v>2011</v>
      </c>
      <c r="B50" s="1">
        <v>40799</v>
      </c>
      <c r="D50" s="4">
        <v>1.1799999999999997</v>
      </c>
      <c r="F50" s="5">
        <f t="shared" si="8"/>
        <v>206.91000000000003</v>
      </c>
      <c r="G50" s="88">
        <v>2010</v>
      </c>
      <c r="H50" s="1">
        <v>40381</v>
      </c>
      <c r="J50" s="4">
        <v>1.0400000000000063</v>
      </c>
      <c r="L50" s="5">
        <f t="shared" si="9"/>
        <v>222.16999999999996</v>
      </c>
      <c r="N50" s="3">
        <v>2009</v>
      </c>
      <c r="O50" s="1">
        <v>40011</v>
      </c>
      <c r="Q50" s="107">
        <v>7.6399999999999864</v>
      </c>
      <c r="S50" s="5">
        <f t="shared" si="10"/>
        <v>213.70000000000002</v>
      </c>
    </row>
    <row r="51" spans="1:19" x14ac:dyDescent="0.25">
      <c r="A51" s="3">
        <v>2012</v>
      </c>
      <c r="B51" s="1">
        <v>41177</v>
      </c>
      <c r="D51" s="4">
        <v>0.67999999999999972</v>
      </c>
      <c r="F51" s="5">
        <f t="shared" si="8"/>
        <v>207.59000000000003</v>
      </c>
      <c r="G51" s="88">
        <v>2011</v>
      </c>
      <c r="H51" s="1">
        <v>40799</v>
      </c>
      <c r="J51" s="9">
        <v>0.28000000000000003</v>
      </c>
      <c r="L51" s="5">
        <f t="shared" si="9"/>
        <v>222.44999999999996</v>
      </c>
      <c r="N51" s="3">
        <v>2011</v>
      </c>
      <c r="O51" s="1">
        <v>40799</v>
      </c>
      <c r="Q51" s="106">
        <v>0.65999999999999659</v>
      </c>
      <c r="S51" s="5">
        <f t="shared" si="10"/>
        <v>214.36</v>
      </c>
    </row>
    <row r="52" spans="1:19" x14ac:dyDescent="0.25">
      <c r="A52" s="3">
        <v>2013</v>
      </c>
      <c r="B52" s="1">
        <v>41467</v>
      </c>
      <c r="D52" s="4">
        <v>1.370000000000001</v>
      </c>
      <c r="F52" s="5">
        <f t="shared" si="8"/>
        <v>208.96000000000004</v>
      </c>
      <c r="G52" s="88">
        <v>2013</v>
      </c>
      <c r="H52" s="1">
        <v>41467</v>
      </c>
      <c r="J52" s="9">
        <v>3.52</v>
      </c>
      <c r="L52" s="5">
        <f t="shared" si="9"/>
        <v>225.96999999999997</v>
      </c>
      <c r="N52" s="3">
        <v>2013</v>
      </c>
      <c r="O52" s="1">
        <v>41467</v>
      </c>
      <c r="Q52" s="106">
        <v>4.6799999999999926</v>
      </c>
      <c r="S52" s="5">
        <f t="shared" si="10"/>
        <v>219.04000000000002</v>
      </c>
    </row>
    <row r="53" spans="1:19" x14ac:dyDescent="0.25">
      <c r="A53" s="3">
        <v>2015</v>
      </c>
      <c r="B53" s="1">
        <v>42199</v>
      </c>
      <c r="D53" s="4">
        <v>2.2299999999999969</v>
      </c>
      <c r="F53" s="5">
        <f t="shared" si="8"/>
        <v>211.19000000000003</v>
      </c>
      <c r="G53" s="88">
        <v>2016</v>
      </c>
      <c r="H53" s="1">
        <v>42516</v>
      </c>
      <c r="J53" s="7">
        <v>3.86</v>
      </c>
      <c r="L53" s="5">
        <f t="shared" si="9"/>
        <v>229.82999999999998</v>
      </c>
      <c r="N53" s="3">
        <v>2015</v>
      </c>
      <c r="O53" s="1">
        <v>42199</v>
      </c>
      <c r="Q53" s="106">
        <v>5.5699999999999932</v>
      </c>
      <c r="S53" s="5">
        <f t="shared" si="10"/>
        <v>224.61</v>
      </c>
    </row>
    <row r="54" spans="1:19" x14ac:dyDescent="0.25">
      <c r="A54" s="3">
        <v>2016</v>
      </c>
      <c r="B54" s="1">
        <v>42516</v>
      </c>
      <c r="D54" s="4">
        <v>2.1799999999999997</v>
      </c>
      <c r="F54" s="5">
        <f t="shared" si="8"/>
        <v>213.37000000000003</v>
      </c>
      <c r="G54" s="88">
        <v>2021</v>
      </c>
      <c r="H54" s="1">
        <v>44385</v>
      </c>
      <c r="J54" s="7">
        <v>13.67</v>
      </c>
      <c r="L54" s="5">
        <f t="shared" si="9"/>
        <v>243.49999999999997</v>
      </c>
      <c r="N54" s="3">
        <v>2016</v>
      </c>
      <c r="O54" s="1">
        <v>42516</v>
      </c>
      <c r="Q54" s="106">
        <v>2.4500000000000171</v>
      </c>
      <c r="S54" s="5">
        <f t="shared" si="10"/>
        <v>227.06000000000003</v>
      </c>
    </row>
    <row r="55" spans="1:19" x14ac:dyDescent="0.25">
      <c r="G55" s="88">
        <v>2022</v>
      </c>
      <c r="H55" s="1">
        <v>44846</v>
      </c>
      <c r="J55" s="7">
        <v>3.04</v>
      </c>
      <c r="L55" s="5">
        <f t="shared" si="9"/>
        <v>246.53999999999996</v>
      </c>
      <c r="N55" s="3">
        <v>2021</v>
      </c>
      <c r="O55" s="1">
        <v>44385</v>
      </c>
      <c r="Q55" s="106">
        <v>14.259999999999991</v>
      </c>
      <c r="S55" s="5">
        <f t="shared" si="10"/>
        <v>241.32000000000002</v>
      </c>
    </row>
    <row r="56" spans="1:19" x14ac:dyDescent="0.25">
      <c r="G56" s="88">
        <v>2024</v>
      </c>
      <c r="H56" s="1">
        <v>45489</v>
      </c>
      <c r="J56" s="7">
        <v>2.25</v>
      </c>
      <c r="L56" s="5">
        <f t="shared" si="9"/>
        <v>248.78999999999996</v>
      </c>
      <c r="N56" s="3">
        <v>2022</v>
      </c>
      <c r="O56" s="1">
        <v>44846</v>
      </c>
      <c r="Q56" s="106">
        <v>2.04</v>
      </c>
      <c r="S56" s="5">
        <f t="shared" si="10"/>
        <v>243.36</v>
      </c>
    </row>
    <row r="57" spans="1:19" x14ac:dyDescent="0.25">
      <c r="N57" s="3">
        <v>2024</v>
      </c>
      <c r="O57" s="1">
        <v>45489</v>
      </c>
      <c r="Q57" s="106">
        <v>4.76</v>
      </c>
      <c r="S57" s="5">
        <f t="shared" si="10"/>
        <v>248.12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topLeftCell="G7" workbookViewId="0">
      <selection activeCell="T34" sqref="T34"/>
    </sheetView>
  </sheetViews>
  <sheetFormatPr defaultRowHeight="15" x14ac:dyDescent="0.25"/>
  <cols>
    <col min="2" max="2" width="11.85546875" customWidth="1"/>
    <col min="3" max="3" width="9.140625" customWidth="1"/>
    <col min="9" max="9" width="11.140625" customWidth="1"/>
    <col min="15" max="15" width="11.42578125" customWidth="1"/>
    <col min="16" max="16" width="13" customWidth="1"/>
  </cols>
  <sheetData>
    <row r="1" spans="1:25" x14ac:dyDescent="0.25">
      <c r="B1" s="3" t="s">
        <v>10</v>
      </c>
    </row>
    <row r="2" spans="1:25" x14ac:dyDescent="0.25">
      <c r="C2" s="3" t="s">
        <v>5</v>
      </c>
      <c r="H2" s="3" t="s">
        <v>6</v>
      </c>
      <c r="M2" s="3" t="s">
        <v>7</v>
      </c>
      <c r="R2" s="8"/>
      <c r="S2" s="7"/>
      <c r="T2" s="7"/>
      <c r="U2" s="7"/>
    </row>
    <row r="3" spans="1:25" x14ac:dyDescent="0.25">
      <c r="C3" s="3"/>
      <c r="H3" s="3"/>
      <c r="M3" s="3"/>
      <c r="R3" s="8"/>
      <c r="S3" s="7"/>
      <c r="T3" s="7"/>
      <c r="U3" s="7"/>
    </row>
    <row r="4" spans="1:25" x14ac:dyDescent="0.25">
      <c r="C4" s="3"/>
      <c r="F4" t="s">
        <v>49</v>
      </c>
      <c r="H4" s="3"/>
      <c r="K4" t="s">
        <v>49</v>
      </c>
      <c r="M4" s="3"/>
      <c r="P4" t="s">
        <v>49</v>
      </c>
      <c r="R4" s="8"/>
      <c r="S4" s="7"/>
      <c r="T4" s="7"/>
      <c r="U4" s="7"/>
    </row>
    <row r="5" spans="1:25" x14ac:dyDescent="0.25">
      <c r="A5">
        <v>1958</v>
      </c>
      <c r="B5" s="11">
        <v>21459</v>
      </c>
      <c r="C5" s="5"/>
      <c r="D5" s="4"/>
      <c r="H5" s="3"/>
      <c r="M5" s="3"/>
      <c r="R5" s="8"/>
      <c r="S5" s="7"/>
      <c r="T5" s="7"/>
      <c r="U5" s="7"/>
      <c r="W5" t="s">
        <v>47</v>
      </c>
      <c r="X5" t="s">
        <v>48</v>
      </c>
    </row>
    <row r="6" spans="1:25" x14ac:dyDescent="0.25">
      <c r="A6">
        <v>1960</v>
      </c>
      <c r="B6" s="11">
        <v>22212</v>
      </c>
      <c r="C6" s="23">
        <v>753</v>
      </c>
      <c r="D6" s="4">
        <v>19.180000000000007</v>
      </c>
      <c r="E6" s="21">
        <v>366</v>
      </c>
      <c r="F6" s="6">
        <f>E6*D6/C6</f>
        <v>9.3225498007968159</v>
      </c>
      <c r="G6" s="3">
        <v>1960</v>
      </c>
      <c r="H6" s="22">
        <v>753</v>
      </c>
      <c r="I6" s="4">
        <v>20.939999999999998</v>
      </c>
      <c r="J6" s="21">
        <v>366</v>
      </c>
      <c r="K6" s="6">
        <f t="shared" ref="K6:K21" si="0">J6*I6/H6</f>
        <v>10.178007968127488</v>
      </c>
      <c r="L6" s="3">
        <v>1960</v>
      </c>
      <c r="M6" s="23">
        <v>753</v>
      </c>
      <c r="N6" s="20">
        <v>25.100000000000023</v>
      </c>
      <c r="O6" s="21">
        <v>366</v>
      </c>
      <c r="P6" s="6">
        <f>O6*N6/M6</f>
        <v>12.20000000000001</v>
      </c>
      <c r="R6" s="8"/>
      <c r="S6" s="7"/>
      <c r="T6" s="7"/>
      <c r="U6" s="7"/>
      <c r="W6" s="109">
        <v>1986</v>
      </c>
      <c r="X6" s="4">
        <v>14.350000000000001</v>
      </c>
      <c r="Y6" s="4">
        <v>15.34</v>
      </c>
    </row>
    <row r="7" spans="1:25" x14ac:dyDescent="0.25">
      <c r="A7">
        <v>1965</v>
      </c>
      <c r="B7" s="11">
        <v>23954</v>
      </c>
      <c r="C7" s="23">
        <v>1742</v>
      </c>
      <c r="D7" s="4">
        <v>31.45999999999998</v>
      </c>
      <c r="E7">
        <v>365</v>
      </c>
      <c r="F7" s="6">
        <f t="shared" ref="F7:F21" si="1">E7*D7/C7</f>
        <v>6.591791044776115</v>
      </c>
      <c r="G7" s="3">
        <v>1965</v>
      </c>
      <c r="H7" s="22">
        <v>1742</v>
      </c>
      <c r="I7" s="4">
        <v>23.930000000000007</v>
      </c>
      <c r="J7">
        <v>365</v>
      </c>
      <c r="K7" s="6">
        <f t="shared" si="0"/>
        <v>5.014035591274399</v>
      </c>
      <c r="L7" s="3">
        <v>1965</v>
      </c>
      <c r="M7" s="23">
        <v>1742</v>
      </c>
      <c r="N7" s="20">
        <v>37.149999999999977</v>
      </c>
      <c r="O7">
        <v>365</v>
      </c>
      <c r="P7" s="6">
        <f t="shared" ref="P7:P19" si="2">O7*N7/M7</f>
        <v>7.7840126291618779</v>
      </c>
      <c r="R7" s="8"/>
      <c r="S7" s="7"/>
      <c r="T7" s="7"/>
      <c r="U7" s="7"/>
      <c r="W7" s="109">
        <v>1987</v>
      </c>
      <c r="X7" s="4">
        <v>14.45</v>
      </c>
      <c r="Y7" s="4">
        <v>15.379999999999999</v>
      </c>
    </row>
    <row r="8" spans="1:25" x14ac:dyDescent="0.25">
      <c r="A8">
        <v>1970</v>
      </c>
      <c r="B8" s="11">
        <v>25767</v>
      </c>
      <c r="C8" s="23">
        <v>1813</v>
      </c>
      <c r="D8" s="4">
        <v>16.590000000000032</v>
      </c>
      <c r="E8">
        <v>365</v>
      </c>
      <c r="F8" s="6">
        <f t="shared" si="1"/>
        <v>3.3399613899613962</v>
      </c>
      <c r="G8" s="3">
        <v>1970</v>
      </c>
      <c r="H8" s="22">
        <v>1813</v>
      </c>
      <c r="I8" s="4">
        <v>20.430000000000007</v>
      </c>
      <c r="J8">
        <v>365</v>
      </c>
      <c r="K8" s="6">
        <f t="shared" si="0"/>
        <v>4.113044677330393</v>
      </c>
      <c r="L8" s="3">
        <v>1970</v>
      </c>
      <c r="M8" s="23">
        <v>1813</v>
      </c>
      <c r="N8" s="20">
        <v>23.340000000000032</v>
      </c>
      <c r="O8">
        <v>365</v>
      </c>
      <c r="P8" s="6">
        <f t="shared" si="2"/>
        <v>4.6988968560397195</v>
      </c>
      <c r="R8" s="8"/>
      <c r="S8" s="7"/>
      <c r="T8" s="7"/>
      <c r="U8" s="7"/>
      <c r="W8" s="109">
        <v>1988</v>
      </c>
      <c r="X8" s="4">
        <v>14.605</v>
      </c>
      <c r="Y8" s="4">
        <v>15.59</v>
      </c>
    </row>
    <row r="9" spans="1:25" x14ac:dyDescent="0.25">
      <c r="A9">
        <v>1974</v>
      </c>
      <c r="B9" s="11">
        <v>27223</v>
      </c>
      <c r="C9" s="23">
        <v>1456</v>
      </c>
      <c r="D9" s="4">
        <v>9.2699999999999818</v>
      </c>
      <c r="E9">
        <v>365</v>
      </c>
      <c r="F9" s="6">
        <f t="shared" si="1"/>
        <v>2.3238667582417536</v>
      </c>
      <c r="G9" s="3">
        <v>1974</v>
      </c>
      <c r="H9" s="22">
        <v>1456</v>
      </c>
      <c r="I9" s="4">
        <v>13.440000000000026</v>
      </c>
      <c r="J9">
        <v>365</v>
      </c>
      <c r="K9" s="6">
        <f t="shared" si="0"/>
        <v>3.3692307692307759</v>
      </c>
      <c r="L9" s="3">
        <v>1974</v>
      </c>
      <c r="M9" s="23">
        <v>1456</v>
      </c>
      <c r="N9" s="20">
        <v>16.605865594806687</v>
      </c>
      <c r="O9">
        <v>365</v>
      </c>
      <c r="P9" s="6">
        <f t="shared" si="2"/>
        <v>4.1628715261706324</v>
      </c>
      <c r="R9" s="8"/>
      <c r="S9" s="7"/>
      <c r="T9" s="7"/>
      <c r="U9" s="7"/>
      <c r="W9" s="109">
        <v>1989</v>
      </c>
      <c r="X9" s="4">
        <v>14.335000000000001</v>
      </c>
      <c r="Y9" s="4">
        <v>15.23</v>
      </c>
    </row>
    <row r="10" spans="1:25" x14ac:dyDescent="0.25">
      <c r="A10">
        <v>1980</v>
      </c>
      <c r="B10" s="11">
        <v>29552</v>
      </c>
      <c r="C10" s="23">
        <v>2329</v>
      </c>
      <c r="D10" s="4">
        <v>10.150000000000006</v>
      </c>
      <c r="E10">
        <v>366</v>
      </c>
      <c r="F10" s="6">
        <f t="shared" si="1"/>
        <v>1.5950622584800351</v>
      </c>
      <c r="G10" s="3">
        <v>1980</v>
      </c>
      <c r="H10" s="22">
        <v>2329</v>
      </c>
      <c r="I10" s="4">
        <v>10.25</v>
      </c>
      <c r="J10">
        <v>366</v>
      </c>
      <c r="K10" s="10">
        <f t="shared" si="0"/>
        <v>1.6107771575783598</v>
      </c>
      <c r="L10" s="3">
        <v>1980</v>
      </c>
      <c r="M10" s="23">
        <v>2329</v>
      </c>
      <c r="N10" s="20">
        <v>12.654134405193304</v>
      </c>
      <c r="O10">
        <v>366</v>
      </c>
      <c r="P10" s="6">
        <f t="shared" si="2"/>
        <v>1.9885844535426145</v>
      </c>
      <c r="R10" s="8"/>
      <c r="S10" s="7"/>
      <c r="T10" s="7"/>
      <c r="U10" s="7"/>
      <c r="W10" s="109">
        <v>1990</v>
      </c>
      <c r="X10" s="4">
        <v>14.795</v>
      </c>
      <c r="Y10" s="4">
        <v>15.31</v>
      </c>
    </row>
    <row r="11" spans="1:25" x14ac:dyDescent="0.25">
      <c r="A11">
        <v>1986</v>
      </c>
      <c r="B11" s="11">
        <v>31711</v>
      </c>
      <c r="C11" s="23">
        <v>2159</v>
      </c>
      <c r="D11" s="4">
        <v>14.25</v>
      </c>
      <c r="E11">
        <v>365</v>
      </c>
      <c r="F11" s="6">
        <f t="shared" si="1"/>
        <v>2.4091014358499305</v>
      </c>
      <c r="G11" s="3">
        <v>1986</v>
      </c>
      <c r="H11" s="22">
        <v>2159</v>
      </c>
      <c r="I11" s="4">
        <v>15.159999999999968</v>
      </c>
      <c r="J11">
        <v>365</v>
      </c>
      <c r="K11" s="6">
        <f t="shared" si="0"/>
        <v>2.5629458082445526</v>
      </c>
      <c r="L11" s="3">
        <v>1986</v>
      </c>
      <c r="M11" s="23">
        <v>2159</v>
      </c>
      <c r="N11" s="20">
        <v>22.024134731714184</v>
      </c>
      <c r="O11">
        <v>365</v>
      </c>
      <c r="P11" s="6">
        <f t="shared" si="2"/>
        <v>3.7233947091596469</v>
      </c>
      <c r="R11" s="8"/>
      <c r="S11" s="7"/>
      <c r="T11" s="7"/>
      <c r="U11" s="7"/>
      <c r="W11" s="109">
        <v>1991</v>
      </c>
      <c r="X11" s="4">
        <v>14.719999999999999</v>
      </c>
      <c r="Y11" s="4">
        <v>16.04</v>
      </c>
    </row>
    <row r="12" spans="1:25" x14ac:dyDescent="0.25">
      <c r="A12">
        <v>1991</v>
      </c>
      <c r="B12" s="11">
        <v>33529</v>
      </c>
      <c r="C12" s="23">
        <v>1818</v>
      </c>
      <c r="D12" s="4">
        <v>18.120000000000005</v>
      </c>
      <c r="E12">
        <v>365</v>
      </c>
      <c r="F12" s="6">
        <f t="shared" si="1"/>
        <v>3.6379537953795391</v>
      </c>
      <c r="G12" s="3">
        <v>1991</v>
      </c>
      <c r="H12" s="22">
        <v>1818</v>
      </c>
      <c r="I12" s="4">
        <v>19.920000000000016</v>
      </c>
      <c r="J12">
        <v>365</v>
      </c>
      <c r="K12" s="6">
        <f t="shared" si="0"/>
        <v>3.9993399339934026</v>
      </c>
      <c r="L12" s="3">
        <v>1991</v>
      </c>
      <c r="M12" s="23">
        <v>1818</v>
      </c>
      <c r="N12" s="20">
        <v>21.663558556697581</v>
      </c>
      <c r="O12">
        <v>365</v>
      </c>
      <c r="P12" s="6">
        <f t="shared" si="2"/>
        <v>4.3493943196890079</v>
      </c>
      <c r="R12" s="8"/>
      <c r="S12" s="7"/>
      <c r="T12" s="7"/>
      <c r="U12" s="7"/>
      <c r="W12" s="109">
        <v>1992</v>
      </c>
      <c r="X12" s="4">
        <v>14.719999999999999</v>
      </c>
      <c r="Y12" s="4">
        <v>15.21</v>
      </c>
    </row>
    <row r="13" spans="1:25" x14ac:dyDescent="0.25">
      <c r="A13">
        <v>1994</v>
      </c>
      <c r="B13" s="11">
        <v>34628</v>
      </c>
      <c r="C13" s="23">
        <v>1099</v>
      </c>
      <c r="D13" s="4">
        <v>1.960000000000008</v>
      </c>
      <c r="E13">
        <v>365</v>
      </c>
      <c r="F13" s="10">
        <f t="shared" si="1"/>
        <v>0.65095541401274148</v>
      </c>
      <c r="G13" s="3">
        <v>1994</v>
      </c>
      <c r="H13" s="22">
        <v>1099</v>
      </c>
      <c r="I13" s="4">
        <v>0.62999999999999545</v>
      </c>
      <c r="J13">
        <v>365</v>
      </c>
      <c r="K13" s="10">
        <f t="shared" si="0"/>
        <v>0.2092356687898074</v>
      </c>
      <c r="L13" s="3">
        <v>1994</v>
      </c>
      <c r="M13" s="23">
        <v>1099</v>
      </c>
      <c r="N13" s="20">
        <v>21.700075491453362</v>
      </c>
      <c r="O13">
        <v>365</v>
      </c>
      <c r="P13" s="6">
        <f t="shared" si="2"/>
        <v>7.2070314416564853</v>
      </c>
      <c r="R13" s="8"/>
      <c r="S13" s="7"/>
      <c r="T13" s="7"/>
      <c r="U13" s="7"/>
      <c r="W13" s="109">
        <v>1993</v>
      </c>
      <c r="X13" s="4">
        <v>14.635000000000002</v>
      </c>
      <c r="Y13" s="4">
        <v>15.219999999999999</v>
      </c>
    </row>
    <row r="14" spans="1:25" x14ac:dyDescent="0.25">
      <c r="A14">
        <v>2000</v>
      </c>
      <c r="B14" s="11">
        <v>36720</v>
      </c>
      <c r="C14" s="23">
        <v>2092</v>
      </c>
      <c r="D14" s="4">
        <v>23.019999999999996</v>
      </c>
      <c r="E14">
        <v>365</v>
      </c>
      <c r="F14" s="6">
        <f t="shared" si="1"/>
        <v>4.0163957934990435</v>
      </c>
      <c r="G14" s="3">
        <v>2000</v>
      </c>
      <c r="H14" s="22">
        <v>2092</v>
      </c>
      <c r="I14" s="4">
        <v>36.559999999999988</v>
      </c>
      <c r="J14">
        <v>365</v>
      </c>
      <c r="K14" s="6">
        <f t="shared" si="0"/>
        <v>6.3787762906309728</v>
      </c>
      <c r="L14" s="3">
        <v>2000</v>
      </c>
      <c r="M14" s="23">
        <v>2092</v>
      </c>
      <c r="N14" s="20">
        <v>31.852231220134883</v>
      </c>
      <c r="O14">
        <v>365</v>
      </c>
      <c r="P14" s="6">
        <f t="shared" si="2"/>
        <v>5.5573921583887342</v>
      </c>
      <c r="R14" s="8"/>
      <c r="S14" s="7"/>
      <c r="T14" s="7"/>
      <c r="U14" s="7"/>
      <c r="W14" s="109">
        <v>1994</v>
      </c>
      <c r="X14" s="4">
        <v>14.655000000000001</v>
      </c>
      <c r="Y14" s="4">
        <v>15.34</v>
      </c>
    </row>
    <row r="15" spans="1:25" x14ac:dyDescent="0.25">
      <c r="A15">
        <v>2001</v>
      </c>
      <c r="B15" s="11">
        <v>37087</v>
      </c>
      <c r="C15" s="23">
        <v>367</v>
      </c>
      <c r="D15" s="4">
        <v>4.9500000000000028</v>
      </c>
      <c r="E15">
        <v>365</v>
      </c>
      <c r="F15" s="6">
        <f t="shared" si="1"/>
        <v>4.9230245231607661</v>
      </c>
      <c r="G15" s="3">
        <v>2001</v>
      </c>
      <c r="H15" s="22">
        <v>367</v>
      </c>
      <c r="I15" s="4">
        <v>6.5600000000000165</v>
      </c>
      <c r="J15">
        <v>365</v>
      </c>
      <c r="K15" s="6">
        <f t="shared" si="0"/>
        <v>6.524250681198926</v>
      </c>
      <c r="L15" s="3">
        <v>2001</v>
      </c>
      <c r="M15" s="23"/>
      <c r="N15" s="20"/>
      <c r="P15" s="5"/>
      <c r="R15" s="8"/>
      <c r="S15" s="7"/>
      <c r="T15" s="7"/>
      <c r="U15" s="7"/>
      <c r="W15" s="109">
        <v>1995</v>
      </c>
      <c r="X15" s="4">
        <v>14.75</v>
      </c>
      <c r="Y15" s="4">
        <v>15.58</v>
      </c>
    </row>
    <row r="16" spans="1:25" x14ac:dyDescent="0.25">
      <c r="A16">
        <v>2005</v>
      </c>
      <c r="B16" s="11">
        <v>38555</v>
      </c>
      <c r="C16" s="23">
        <v>1468</v>
      </c>
      <c r="D16" s="4">
        <v>18.28</v>
      </c>
      <c r="E16">
        <v>365</v>
      </c>
      <c r="F16" s="6">
        <f t="shared" si="1"/>
        <v>4.545095367847412</v>
      </c>
      <c r="G16" s="3">
        <v>2005</v>
      </c>
      <c r="H16" s="22"/>
      <c r="I16" s="4"/>
      <c r="K16" s="10"/>
      <c r="L16" s="3">
        <v>2005</v>
      </c>
      <c r="M16" s="23"/>
      <c r="N16" s="20"/>
      <c r="P16" s="5"/>
      <c r="R16" s="8"/>
      <c r="S16" s="7"/>
      <c r="T16" s="7"/>
      <c r="U16" s="7"/>
      <c r="W16" s="109">
        <v>1996</v>
      </c>
      <c r="X16" s="4">
        <v>14.524999999999999</v>
      </c>
      <c r="Y16" s="4">
        <v>15.280000000000001</v>
      </c>
    </row>
    <row r="17" spans="1:25" x14ac:dyDescent="0.25">
      <c r="A17">
        <v>2005</v>
      </c>
      <c r="B17" s="11">
        <v>38640</v>
      </c>
      <c r="C17" s="23"/>
      <c r="D17" s="4"/>
      <c r="F17" s="10"/>
      <c r="G17" s="3">
        <v>2005</v>
      </c>
      <c r="H17" s="22">
        <v>1553</v>
      </c>
      <c r="I17" s="4">
        <v>32.449999999999989</v>
      </c>
      <c r="J17">
        <v>365</v>
      </c>
      <c r="K17" s="6">
        <f t="shared" si="0"/>
        <v>7.6266902768834495</v>
      </c>
      <c r="L17" s="3">
        <v>2005</v>
      </c>
      <c r="M17" s="23">
        <v>1920</v>
      </c>
      <c r="N17" s="20">
        <v>36.294335278237384</v>
      </c>
      <c r="O17">
        <v>365</v>
      </c>
      <c r="P17" s="6">
        <f t="shared" si="2"/>
        <v>6.8997043627899188</v>
      </c>
      <c r="R17" s="8"/>
      <c r="S17" s="7"/>
      <c r="T17" s="7"/>
      <c r="U17" s="7"/>
      <c r="W17" s="109">
        <v>1997</v>
      </c>
      <c r="X17" s="4">
        <v>14.685</v>
      </c>
      <c r="Y17" s="4">
        <v>15.5</v>
      </c>
    </row>
    <row r="18" spans="1:25" x14ac:dyDescent="0.25">
      <c r="A18">
        <v>2006</v>
      </c>
      <c r="B18" s="11">
        <v>38920</v>
      </c>
      <c r="C18" s="23"/>
      <c r="D18" s="4"/>
      <c r="F18" s="10"/>
      <c r="G18" s="3"/>
      <c r="H18" s="22"/>
      <c r="I18" s="4"/>
      <c r="K18" s="10"/>
      <c r="L18" s="3"/>
      <c r="M18" s="23"/>
      <c r="N18" s="20"/>
      <c r="P18" s="5"/>
      <c r="R18" s="8"/>
      <c r="S18" s="7"/>
      <c r="T18" s="7"/>
      <c r="U18" s="7"/>
      <c r="W18" s="109">
        <v>1998</v>
      </c>
      <c r="X18" s="4">
        <v>14.68</v>
      </c>
      <c r="Y18" s="4">
        <v>15.39</v>
      </c>
    </row>
    <row r="19" spans="1:25" x14ac:dyDescent="0.25">
      <c r="A19">
        <v>2006</v>
      </c>
      <c r="B19" s="11">
        <v>38990</v>
      </c>
      <c r="C19" s="23">
        <v>350</v>
      </c>
      <c r="D19" s="4">
        <v>3.8900000000000006</v>
      </c>
      <c r="E19">
        <v>365</v>
      </c>
      <c r="F19" s="6">
        <f t="shared" si="1"/>
        <v>4.0567142857142864</v>
      </c>
      <c r="G19" s="3">
        <v>2006</v>
      </c>
      <c r="H19" s="22">
        <v>350</v>
      </c>
      <c r="I19" s="4">
        <v>4.0600000000000023</v>
      </c>
      <c r="J19">
        <v>365</v>
      </c>
      <c r="K19" s="6">
        <f t="shared" si="0"/>
        <v>4.2340000000000027</v>
      </c>
      <c r="L19" s="3">
        <v>2006</v>
      </c>
      <c r="M19" s="23">
        <v>350</v>
      </c>
      <c r="N19" s="20">
        <v>4.6554804081609404</v>
      </c>
      <c r="O19">
        <v>365</v>
      </c>
      <c r="P19" s="6">
        <f t="shared" si="2"/>
        <v>4.8550009970821231</v>
      </c>
      <c r="R19" s="8"/>
      <c r="S19" s="7"/>
      <c r="T19" s="7"/>
      <c r="U19" s="7"/>
      <c r="W19" s="109">
        <v>1999</v>
      </c>
      <c r="X19" s="4">
        <v>14.654999999999999</v>
      </c>
      <c r="Y19" s="4">
        <v>15.25</v>
      </c>
    </row>
    <row r="20" spans="1:25" x14ac:dyDescent="0.25">
      <c r="A20">
        <v>2009</v>
      </c>
      <c r="B20" s="11">
        <v>40014</v>
      </c>
      <c r="C20" s="23"/>
      <c r="D20" s="4"/>
      <c r="F20" s="10"/>
      <c r="G20" s="3">
        <v>2009</v>
      </c>
      <c r="H20" s="22">
        <v>1024</v>
      </c>
      <c r="I20" s="4">
        <v>15.989999999999995</v>
      </c>
      <c r="J20">
        <v>365</v>
      </c>
      <c r="K20" s="6">
        <f t="shared" si="0"/>
        <v>5.6995605468749986</v>
      </c>
      <c r="L20" s="8">
        <v>2009</v>
      </c>
      <c r="M20" s="29"/>
      <c r="N20" s="30"/>
      <c r="O20" s="7"/>
      <c r="P20" s="10"/>
      <c r="R20" s="8"/>
      <c r="S20" s="7"/>
      <c r="T20" s="7"/>
      <c r="U20" s="7"/>
      <c r="W20" s="109">
        <v>2000</v>
      </c>
      <c r="X20" s="4">
        <v>14.75</v>
      </c>
      <c r="Y20" s="4">
        <v>15.31</v>
      </c>
    </row>
    <row r="21" spans="1:25" x14ac:dyDescent="0.25">
      <c r="A21">
        <v>2010</v>
      </c>
      <c r="B21" s="11">
        <v>40383</v>
      </c>
      <c r="C21" s="23">
        <v>1393</v>
      </c>
      <c r="D21" s="4">
        <v>12.930000000000007</v>
      </c>
      <c r="E21">
        <v>366</v>
      </c>
      <c r="F21" s="6">
        <f t="shared" si="1"/>
        <v>3.3972577171572165</v>
      </c>
      <c r="G21" s="3">
        <v>2010</v>
      </c>
      <c r="H21" s="22">
        <v>369</v>
      </c>
      <c r="I21" s="4">
        <v>2.2900000000000027</v>
      </c>
      <c r="J21">
        <v>366</v>
      </c>
      <c r="K21" s="6">
        <f t="shared" si="0"/>
        <v>2.271382113821141</v>
      </c>
      <c r="L21" s="3">
        <v>2010</v>
      </c>
      <c r="M21" s="20">
        <v>1393</v>
      </c>
      <c r="N21" s="20">
        <v>31.160000000000025</v>
      </c>
      <c r="O21">
        <v>366</v>
      </c>
      <c r="P21" s="6">
        <f>O21*N21/M21</f>
        <v>8.187049533381197</v>
      </c>
      <c r="R21" s="8"/>
      <c r="S21" s="7"/>
      <c r="T21" s="7"/>
      <c r="U21" s="7"/>
      <c r="W21" s="109">
        <v>2001</v>
      </c>
      <c r="X21" s="4">
        <v>14.895</v>
      </c>
      <c r="Y21" s="4">
        <v>15.600000000000001</v>
      </c>
    </row>
    <row r="22" spans="1:25" x14ac:dyDescent="0.25">
      <c r="A22">
        <v>2011</v>
      </c>
      <c r="B22" s="11">
        <v>40800</v>
      </c>
      <c r="C22" s="26"/>
      <c r="D22" s="12"/>
      <c r="E22" s="4"/>
      <c r="F22" s="7"/>
      <c r="G22" s="8">
        <v>2011</v>
      </c>
      <c r="H22" s="27">
        <v>417</v>
      </c>
      <c r="I22" s="7">
        <v>0.89000000000000057</v>
      </c>
      <c r="J22" s="4"/>
      <c r="K22" s="10">
        <f t="shared" ref="K22" si="3">J22*I22/H22</f>
        <v>0</v>
      </c>
      <c r="L22" s="8">
        <v>2011</v>
      </c>
      <c r="M22" s="21">
        <v>417</v>
      </c>
      <c r="N22" s="4">
        <v>0.63999999999998636</v>
      </c>
      <c r="O22" s="21">
        <v>365</v>
      </c>
      <c r="P22" s="5">
        <f>O22*N22/M22</f>
        <v>0.56019184652276988</v>
      </c>
      <c r="Q22" s="3"/>
      <c r="R22" s="9"/>
      <c r="S22" s="9"/>
      <c r="T22" s="9"/>
      <c r="U22" s="10"/>
      <c r="W22" s="109">
        <v>2002</v>
      </c>
      <c r="X22" s="4">
        <v>14.825000000000001</v>
      </c>
      <c r="Y22" s="4">
        <v>15.3</v>
      </c>
    </row>
    <row r="23" spans="1:25" x14ac:dyDescent="0.25">
      <c r="A23">
        <v>2012</v>
      </c>
      <c r="B23" s="11">
        <v>41198</v>
      </c>
      <c r="C23" s="26">
        <v>398</v>
      </c>
      <c r="D23" s="12">
        <v>0.96999999999999886</v>
      </c>
      <c r="E23" s="21">
        <v>366</v>
      </c>
      <c r="F23" s="10">
        <f>E23*D23/C23</f>
        <v>0.89201005025125524</v>
      </c>
      <c r="G23" s="8">
        <v>2012</v>
      </c>
      <c r="H23" s="27">
        <v>398</v>
      </c>
      <c r="I23" s="7">
        <v>1.120000000000001</v>
      </c>
      <c r="J23" s="28">
        <v>366</v>
      </c>
      <c r="K23" s="10">
        <f>J23*I23/H23</f>
        <v>1.0299497487437195</v>
      </c>
      <c r="L23" s="8">
        <v>2012</v>
      </c>
      <c r="M23" s="21">
        <v>398</v>
      </c>
      <c r="N23" s="4">
        <v>0.74000000000000909</v>
      </c>
      <c r="O23" s="21">
        <v>366</v>
      </c>
      <c r="P23" s="5">
        <f>O23*N23/M23</f>
        <v>0.68050251256282246</v>
      </c>
      <c r="Q23" s="3"/>
      <c r="R23" s="9"/>
      <c r="S23" s="9"/>
      <c r="T23" s="9"/>
      <c r="U23" s="10"/>
      <c r="W23" s="109">
        <v>2003</v>
      </c>
      <c r="X23" s="4">
        <v>14.89</v>
      </c>
      <c r="Y23" s="4">
        <v>15.370000000000001</v>
      </c>
    </row>
    <row r="24" spans="1:25" x14ac:dyDescent="0.25">
      <c r="A24">
        <v>2013</v>
      </c>
      <c r="B24" s="11">
        <v>41464</v>
      </c>
      <c r="C24" s="26">
        <v>266</v>
      </c>
      <c r="D24" s="12">
        <v>2.029999999999994</v>
      </c>
      <c r="E24" s="21">
        <v>365</v>
      </c>
      <c r="F24" s="6">
        <f t="shared" ref="F24:F27" si="4">E24*D24/C24</f>
        <v>2.7855263157894652</v>
      </c>
      <c r="G24" s="8">
        <v>2013</v>
      </c>
      <c r="H24" s="7">
        <v>266</v>
      </c>
      <c r="I24" s="7">
        <v>1.2099999999999973</v>
      </c>
      <c r="J24" s="28">
        <v>365</v>
      </c>
      <c r="K24" s="6">
        <f t="shared" ref="K24:K26" si="5">J24*I24/H24</f>
        <v>1.6603383458646579</v>
      </c>
      <c r="L24" s="8">
        <v>2013</v>
      </c>
      <c r="M24" s="21"/>
      <c r="N24" s="4">
        <v>6.05</v>
      </c>
      <c r="O24" s="21"/>
      <c r="P24" s="5"/>
      <c r="Q24" s="3"/>
      <c r="R24" s="9"/>
      <c r="S24" s="9"/>
      <c r="T24" s="9"/>
      <c r="U24" s="10"/>
      <c r="W24" s="109">
        <v>2004</v>
      </c>
      <c r="X24" s="4">
        <v>14.805</v>
      </c>
      <c r="Y24" s="4">
        <v>15.32</v>
      </c>
    </row>
    <row r="25" spans="1:25" x14ac:dyDescent="0.25">
      <c r="A25">
        <v>2016</v>
      </c>
      <c r="B25" s="11">
        <v>42515</v>
      </c>
      <c r="C25" s="26">
        <v>1051</v>
      </c>
      <c r="D25" s="12">
        <v>9.2899999999999991</v>
      </c>
      <c r="E25" s="21">
        <v>366</v>
      </c>
      <c r="F25" s="6">
        <f t="shared" si="4"/>
        <v>3.2351474785918173</v>
      </c>
      <c r="G25" s="8">
        <v>2016</v>
      </c>
      <c r="H25" s="7">
        <v>1051</v>
      </c>
      <c r="I25" s="7">
        <v>8.1500000000000021</v>
      </c>
      <c r="J25" s="28">
        <v>366</v>
      </c>
      <c r="K25" s="6">
        <f t="shared" si="5"/>
        <v>2.8381541389153195</v>
      </c>
      <c r="L25" s="8">
        <v>2016</v>
      </c>
      <c r="M25" s="21">
        <v>1051</v>
      </c>
      <c r="N25" s="4">
        <v>12.049999999999983</v>
      </c>
      <c r="O25" s="21">
        <v>366</v>
      </c>
      <c r="P25" s="6">
        <f>O25*N25/M25</f>
        <v>4.1962892483349137</v>
      </c>
      <c r="Q25" s="3"/>
      <c r="R25" s="9"/>
      <c r="S25" s="9"/>
      <c r="T25" s="9"/>
      <c r="U25" s="10"/>
      <c r="W25" s="109">
        <v>2005</v>
      </c>
      <c r="X25" s="4">
        <v>14.93</v>
      </c>
      <c r="Y25" s="4">
        <v>15.77</v>
      </c>
    </row>
    <row r="26" spans="1:25" x14ac:dyDescent="0.25">
      <c r="A26">
        <v>2019</v>
      </c>
      <c r="B26" s="1">
        <v>43691</v>
      </c>
      <c r="C26" s="26">
        <v>1176</v>
      </c>
      <c r="D26" s="12">
        <v>7.4000000000000057</v>
      </c>
      <c r="E26" s="21">
        <v>365</v>
      </c>
      <c r="F26" s="6">
        <f t="shared" si="4"/>
        <v>2.296768707482995</v>
      </c>
      <c r="G26" s="8">
        <v>2019</v>
      </c>
      <c r="H26" s="7">
        <v>1176</v>
      </c>
      <c r="I26" s="7">
        <v>3.59</v>
      </c>
      <c r="J26" s="28">
        <v>365</v>
      </c>
      <c r="K26" s="10">
        <f t="shared" si="5"/>
        <v>1.1142431972789115</v>
      </c>
      <c r="L26" s="8">
        <v>2019</v>
      </c>
      <c r="M26" s="21">
        <v>1176</v>
      </c>
      <c r="N26" s="4">
        <v>3.3500000000000085</v>
      </c>
      <c r="O26" s="21">
        <v>365</v>
      </c>
      <c r="P26" s="5">
        <f t="shared" ref="P26:P28" si="6">O26*N26/M26</f>
        <v>1.0397534013605469</v>
      </c>
      <c r="Q26" s="3"/>
      <c r="R26" s="9"/>
      <c r="S26" s="9"/>
      <c r="T26" s="9"/>
      <c r="U26" s="10"/>
      <c r="W26" s="109">
        <v>2006</v>
      </c>
      <c r="X26" s="4">
        <v>14.81</v>
      </c>
      <c r="Y26" s="4">
        <v>15.5</v>
      </c>
    </row>
    <row r="27" spans="1:25" x14ac:dyDescent="0.25">
      <c r="A27">
        <v>2021</v>
      </c>
      <c r="B27" s="2">
        <v>44384</v>
      </c>
      <c r="C27" s="26">
        <f>B27-B26</f>
        <v>693</v>
      </c>
      <c r="D27" s="12">
        <v>16.8</v>
      </c>
      <c r="E27" s="4">
        <v>365</v>
      </c>
      <c r="F27" s="6">
        <f t="shared" si="4"/>
        <v>8.8484848484848477</v>
      </c>
      <c r="G27" s="8">
        <v>2021</v>
      </c>
      <c r="H27" s="7">
        <v>693</v>
      </c>
      <c r="I27" s="7">
        <v>7.2700000000000102</v>
      </c>
      <c r="J27" s="28">
        <v>365</v>
      </c>
      <c r="K27" s="6">
        <f>J27*I27/H27</f>
        <v>3.8290764790764844</v>
      </c>
      <c r="L27" s="8">
        <v>2021</v>
      </c>
      <c r="M27" s="21">
        <v>693</v>
      </c>
      <c r="N27" s="4">
        <v>1.480000000000004</v>
      </c>
      <c r="O27" s="21">
        <v>365</v>
      </c>
      <c r="P27" s="5">
        <f t="shared" si="6"/>
        <v>0.77950937950938159</v>
      </c>
      <c r="Q27" s="3"/>
      <c r="R27" s="9"/>
      <c r="S27" s="9"/>
      <c r="T27" s="9"/>
      <c r="U27" s="10"/>
      <c r="W27" s="109">
        <v>2007</v>
      </c>
      <c r="X27" s="4">
        <v>14.79</v>
      </c>
      <c r="Y27" s="4">
        <v>15.41</v>
      </c>
    </row>
    <row r="28" spans="1:25" x14ac:dyDescent="0.25">
      <c r="A28">
        <v>2023</v>
      </c>
      <c r="B28" s="2">
        <v>45202</v>
      </c>
      <c r="C28">
        <f>B28-B26</f>
        <v>1511</v>
      </c>
      <c r="D28" s="12">
        <v>23.73</v>
      </c>
      <c r="E28" s="21">
        <v>365</v>
      </c>
      <c r="F28" s="6">
        <f>E28*D28/C28</f>
        <v>5.732263401720715</v>
      </c>
      <c r="G28" s="8">
        <v>2023</v>
      </c>
      <c r="H28" s="7">
        <f>B28-B27</f>
        <v>818</v>
      </c>
      <c r="I28" s="7">
        <v>1.65</v>
      </c>
      <c r="J28" s="28">
        <v>365</v>
      </c>
      <c r="K28" s="10">
        <f>J28*I28/H28</f>
        <v>0.73624694376528121</v>
      </c>
      <c r="L28" s="8">
        <v>2023</v>
      </c>
      <c r="M28" s="21">
        <v>818</v>
      </c>
      <c r="N28" s="4">
        <v>1.43</v>
      </c>
      <c r="O28" s="21">
        <v>365</v>
      </c>
      <c r="P28" s="5">
        <f t="shared" si="6"/>
        <v>0.63808068459657696</v>
      </c>
      <c r="R28" s="7"/>
      <c r="S28" s="7"/>
      <c r="T28" s="7"/>
      <c r="U28" s="7"/>
      <c r="W28" s="109">
        <v>2008</v>
      </c>
      <c r="X28" s="4">
        <v>14.73</v>
      </c>
      <c r="Y28" s="4">
        <v>15.690000000000001</v>
      </c>
    </row>
    <row r="29" spans="1:25" x14ac:dyDescent="0.25">
      <c r="D29" s="12"/>
      <c r="E29" s="21"/>
      <c r="R29" s="7"/>
      <c r="S29" s="7"/>
      <c r="T29" s="7"/>
      <c r="U29" s="7"/>
      <c r="W29" s="109">
        <v>2009</v>
      </c>
      <c r="X29" s="4">
        <v>14.705</v>
      </c>
      <c r="Y29" s="4">
        <v>15.45</v>
      </c>
    </row>
    <row r="30" spans="1:25" x14ac:dyDescent="0.25">
      <c r="E30" s="3" t="s">
        <v>23</v>
      </c>
      <c r="F30" s="5">
        <f>AVERAGE(F14:F27)</f>
        <v>3.8996425087979105</v>
      </c>
      <c r="G30" s="4"/>
      <c r="H30" s="4"/>
      <c r="I30" s="4"/>
      <c r="J30" s="4"/>
      <c r="K30" s="5">
        <f>AVERAGE(K14:K27)</f>
        <v>3.6005351516073816</v>
      </c>
      <c r="L30" s="4"/>
      <c r="M30" s="4"/>
      <c r="N30" s="4"/>
      <c r="O30" s="4"/>
      <c r="P30" s="5">
        <f t="shared" ref="P30" si="7">AVERAGE(P14:P27)</f>
        <v>3.6394881599924895</v>
      </c>
      <c r="W30" s="109">
        <v>2010</v>
      </c>
      <c r="X30" s="4">
        <v>14.365</v>
      </c>
      <c r="Y30" s="4">
        <v>15.600000000000001</v>
      </c>
    </row>
    <row r="31" spans="1:25" x14ac:dyDescent="0.25">
      <c r="W31" s="109">
        <v>2011</v>
      </c>
      <c r="X31" s="4">
        <v>14.405000000000001</v>
      </c>
      <c r="Y31" s="4">
        <v>15.49</v>
      </c>
    </row>
    <row r="32" spans="1:25" x14ac:dyDescent="0.25">
      <c r="E32" s="3" t="s">
        <v>27</v>
      </c>
      <c r="F32" s="5">
        <f>MAX(F14:F27)</f>
        <v>8.8484848484848477</v>
      </c>
      <c r="G32" s="4"/>
      <c r="H32" s="4"/>
      <c r="I32" s="4"/>
      <c r="J32" s="4"/>
      <c r="K32" s="5">
        <f>MAX(K14:K27)</f>
        <v>7.6266902768834495</v>
      </c>
      <c r="L32" s="4"/>
      <c r="M32" s="4"/>
      <c r="N32" s="4"/>
      <c r="O32" s="4"/>
      <c r="P32" s="5">
        <f>MAX(P14:P27)</f>
        <v>8.187049533381197</v>
      </c>
      <c r="W32" s="109">
        <v>2012</v>
      </c>
      <c r="X32" s="4">
        <v>14.625</v>
      </c>
      <c r="Y32" s="4">
        <v>15.52</v>
      </c>
    </row>
    <row r="33" spans="1:25" x14ac:dyDescent="0.25">
      <c r="C33" s="3" t="s">
        <v>5</v>
      </c>
      <c r="J33" s="3" t="s">
        <v>6</v>
      </c>
      <c r="Q33" s="3" t="s">
        <v>7</v>
      </c>
      <c r="W33" s="109">
        <v>2013</v>
      </c>
      <c r="X33" s="4">
        <v>14.755000000000001</v>
      </c>
      <c r="Y33" s="4">
        <v>15.370000000000001</v>
      </c>
    </row>
    <row r="34" spans="1:25" x14ac:dyDescent="0.25">
      <c r="F34" t="s">
        <v>50</v>
      </c>
      <c r="M34" t="s">
        <v>50</v>
      </c>
      <c r="T34" t="s">
        <v>50</v>
      </c>
      <c r="W34" s="109">
        <v>2014</v>
      </c>
      <c r="X34" s="4">
        <v>14.52</v>
      </c>
      <c r="Y34" s="4">
        <v>15.45</v>
      </c>
    </row>
    <row r="35" spans="1:25" x14ac:dyDescent="0.25">
      <c r="A35" s="3">
        <v>1958</v>
      </c>
      <c r="B35" s="11">
        <v>21459</v>
      </c>
      <c r="D35" s="4">
        <v>0</v>
      </c>
      <c r="F35" s="3">
        <v>0</v>
      </c>
      <c r="H35" s="3">
        <v>1958</v>
      </c>
      <c r="I35" s="11">
        <v>21459</v>
      </c>
      <c r="K35">
        <v>0</v>
      </c>
      <c r="M35" s="3">
        <v>0</v>
      </c>
      <c r="O35" s="3">
        <v>1958</v>
      </c>
      <c r="P35" s="11">
        <v>21459</v>
      </c>
      <c r="R35" s="20">
        <v>0</v>
      </c>
      <c r="T35" s="3">
        <v>0</v>
      </c>
      <c r="W35" s="109">
        <v>2015</v>
      </c>
      <c r="X35" s="4">
        <v>14.55</v>
      </c>
      <c r="Y35" s="4">
        <v>15.18</v>
      </c>
    </row>
    <row r="36" spans="1:25" x14ac:dyDescent="0.25">
      <c r="A36" s="3">
        <v>1960</v>
      </c>
      <c r="B36" s="11">
        <v>22212</v>
      </c>
      <c r="D36" s="4">
        <v>19.180000000000007</v>
      </c>
      <c r="F36" s="5">
        <f>F35+D36</f>
        <v>19.180000000000007</v>
      </c>
      <c r="H36" s="3">
        <v>1960</v>
      </c>
      <c r="I36" s="11">
        <v>22212</v>
      </c>
      <c r="K36" s="4">
        <v>20.939999999999998</v>
      </c>
      <c r="M36" s="5">
        <f>M35+K36</f>
        <v>20.939999999999998</v>
      </c>
      <c r="O36" s="3">
        <v>1960</v>
      </c>
      <c r="P36" s="11">
        <v>22212</v>
      </c>
      <c r="R36" s="20">
        <v>25.100000000000023</v>
      </c>
      <c r="T36" s="5">
        <f>T35+R36</f>
        <v>25.100000000000023</v>
      </c>
      <c r="W36" s="109">
        <v>2016</v>
      </c>
      <c r="X36" s="4">
        <v>14.785</v>
      </c>
      <c r="Y36" s="4">
        <v>15.600000000000001</v>
      </c>
    </row>
    <row r="37" spans="1:25" x14ac:dyDescent="0.25">
      <c r="A37" s="3">
        <v>1965</v>
      </c>
      <c r="B37" s="11">
        <v>23954</v>
      </c>
      <c r="D37" s="4">
        <v>31.45999999999998</v>
      </c>
      <c r="F37" s="5">
        <f t="shared" ref="F37:F54" si="8">F36+D37</f>
        <v>50.639999999999986</v>
      </c>
      <c r="H37" s="3">
        <v>1965</v>
      </c>
      <c r="I37" s="11">
        <v>23954</v>
      </c>
      <c r="K37" s="4">
        <v>23.930000000000007</v>
      </c>
      <c r="M37" s="5">
        <f t="shared" ref="M37:M56" si="9">M36+K37</f>
        <v>44.870000000000005</v>
      </c>
      <c r="O37" s="3">
        <v>1965</v>
      </c>
      <c r="P37" s="11">
        <v>23954</v>
      </c>
      <c r="R37" s="20">
        <v>37.149999999999977</v>
      </c>
      <c r="T37" s="5">
        <f t="shared" ref="T37:T54" si="10">T36+R37</f>
        <v>62.25</v>
      </c>
      <c r="W37" s="109">
        <v>2017</v>
      </c>
      <c r="X37" s="4">
        <v>14.78</v>
      </c>
      <c r="Y37" s="4">
        <v>15.45</v>
      </c>
    </row>
    <row r="38" spans="1:25" x14ac:dyDescent="0.25">
      <c r="A38" s="3">
        <v>1970</v>
      </c>
      <c r="B38" s="11">
        <v>25767</v>
      </c>
      <c r="D38" s="4">
        <v>16.590000000000032</v>
      </c>
      <c r="F38" s="5">
        <f t="shared" si="8"/>
        <v>67.230000000000018</v>
      </c>
      <c r="H38" s="3">
        <v>1970</v>
      </c>
      <c r="I38" s="11">
        <v>25767</v>
      </c>
      <c r="K38" s="4">
        <v>20.430000000000007</v>
      </c>
      <c r="M38" s="5">
        <f t="shared" si="9"/>
        <v>65.300000000000011</v>
      </c>
      <c r="O38" s="3">
        <v>1970</v>
      </c>
      <c r="P38" s="11">
        <v>25767</v>
      </c>
      <c r="R38" s="20">
        <v>23.340000000000032</v>
      </c>
      <c r="T38" s="5">
        <f t="shared" si="10"/>
        <v>85.590000000000032</v>
      </c>
      <c r="W38" s="109">
        <v>2018</v>
      </c>
      <c r="X38" s="4">
        <v>14.64</v>
      </c>
      <c r="Y38" s="4">
        <v>15.2</v>
      </c>
    </row>
    <row r="39" spans="1:25" x14ac:dyDescent="0.25">
      <c r="A39" s="3">
        <v>1974</v>
      </c>
      <c r="B39" s="11">
        <v>27223</v>
      </c>
      <c r="D39" s="4">
        <v>9.2699999999999818</v>
      </c>
      <c r="F39" s="5">
        <f t="shared" si="8"/>
        <v>76.5</v>
      </c>
      <c r="H39" s="3">
        <v>1974</v>
      </c>
      <c r="I39" s="11">
        <v>27223</v>
      </c>
      <c r="K39" s="4">
        <v>13.440000000000026</v>
      </c>
      <c r="M39" s="5">
        <f t="shared" si="9"/>
        <v>78.740000000000038</v>
      </c>
      <c r="O39" s="3">
        <v>1974</v>
      </c>
      <c r="P39" s="11">
        <v>27223</v>
      </c>
      <c r="R39" s="20">
        <v>16.605865594806687</v>
      </c>
      <c r="T39" s="5">
        <f t="shared" si="10"/>
        <v>102.19586559480672</v>
      </c>
    </row>
    <row r="40" spans="1:25" x14ac:dyDescent="0.25">
      <c r="A40" s="3">
        <v>1980</v>
      </c>
      <c r="B40" s="11">
        <v>29552</v>
      </c>
      <c r="D40" s="4">
        <v>10.150000000000006</v>
      </c>
      <c r="F40" s="5">
        <f t="shared" si="8"/>
        <v>86.65</v>
      </c>
      <c r="H40" s="3">
        <v>1980</v>
      </c>
      <c r="I40" s="11">
        <v>29552</v>
      </c>
      <c r="K40" s="4">
        <v>10.25</v>
      </c>
      <c r="M40" s="5">
        <f t="shared" si="9"/>
        <v>88.990000000000038</v>
      </c>
      <c r="O40" s="3">
        <v>1980</v>
      </c>
      <c r="P40" s="11">
        <v>29552</v>
      </c>
      <c r="R40" s="20">
        <v>12.654134405193304</v>
      </c>
      <c r="T40" s="5">
        <f t="shared" si="10"/>
        <v>114.85000000000002</v>
      </c>
    </row>
    <row r="41" spans="1:25" x14ac:dyDescent="0.25">
      <c r="A41" s="3">
        <v>1986</v>
      </c>
      <c r="B41" s="11">
        <v>31711</v>
      </c>
      <c r="D41" s="4">
        <v>14.25</v>
      </c>
      <c r="F41" s="5">
        <f t="shared" si="8"/>
        <v>100.9</v>
      </c>
      <c r="H41" s="3">
        <v>1986</v>
      </c>
      <c r="I41" s="11">
        <v>31711</v>
      </c>
      <c r="K41" s="4">
        <v>15.159999999999968</v>
      </c>
      <c r="M41" s="5">
        <f t="shared" si="9"/>
        <v>104.15</v>
      </c>
      <c r="O41" s="3">
        <v>1986</v>
      </c>
      <c r="P41" s="11">
        <v>31711</v>
      </c>
      <c r="R41" s="20">
        <v>22.024134731714184</v>
      </c>
      <c r="T41" s="5">
        <f t="shared" si="10"/>
        <v>136.87413473171421</v>
      </c>
    </row>
    <row r="42" spans="1:25" x14ac:dyDescent="0.25">
      <c r="A42" s="3">
        <v>1991</v>
      </c>
      <c r="B42" s="11">
        <v>33529</v>
      </c>
      <c r="D42" s="4">
        <v>18.120000000000005</v>
      </c>
      <c r="F42" s="5">
        <f t="shared" si="8"/>
        <v>119.02000000000001</v>
      </c>
      <c r="H42" s="3">
        <v>1991</v>
      </c>
      <c r="I42" s="11">
        <v>33529</v>
      </c>
      <c r="K42" s="4">
        <v>19.920000000000016</v>
      </c>
      <c r="M42" s="5">
        <f t="shared" si="9"/>
        <v>124.07000000000002</v>
      </c>
      <c r="O42" s="3">
        <v>1991</v>
      </c>
      <c r="P42" s="11">
        <v>33529</v>
      </c>
      <c r="R42" s="20">
        <v>21.663558556697581</v>
      </c>
      <c r="T42" s="5">
        <f t="shared" si="10"/>
        <v>158.53769328841179</v>
      </c>
    </row>
    <row r="43" spans="1:25" x14ac:dyDescent="0.25">
      <c r="A43" s="3">
        <v>1994</v>
      </c>
      <c r="B43" s="11">
        <v>34628</v>
      </c>
      <c r="D43" s="4">
        <v>1.960000000000008</v>
      </c>
      <c r="F43" s="5">
        <f t="shared" si="8"/>
        <v>120.98000000000002</v>
      </c>
      <c r="H43" s="3">
        <v>1994</v>
      </c>
      <c r="I43" s="11">
        <v>34628</v>
      </c>
      <c r="K43" s="4">
        <v>0.62999999999999545</v>
      </c>
      <c r="M43" s="5">
        <f t="shared" si="9"/>
        <v>124.70000000000002</v>
      </c>
      <c r="O43" s="3">
        <v>1994</v>
      </c>
      <c r="P43" s="11">
        <v>34628</v>
      </c>
      <c r="R43" s="20">
        <v>21.700075491453362</v>
      </c>
      <c r="T43" s="5">
        <f t="shared" si="10"/>
        <v>180.23776877986515</v>
      </c>
    </row>
    <row r="44" spans="1:25" x14ac:dyDescent="0.25">
      <c r="A44" s="3">
        <v>2000</v>
      </c>
      <c r="B44" s="11">
        <v>36720</v>
      </c>
      <c r="D44" s="4">
        <v>23.019999999999996</v>
      </c>
      <c r="F44" s="5">
        <f t="shared" si="8"/>
        <v>144</v>
      </c>
      <c r="H44" s="3">
        <v>2000</v>
      </c>
      <c r="I44" s="11">
        <v>36720</v>
      </c>
      <c r="K44" s="4">
        <v>36.559999999999988</v>
      </c>
      <c r="M44" s="5">
        <f t="shared" si="9"/>
        <v>161.26</v>
      </c>
      <c r="O44" s="3">
        <v>2000</v>
      </c>
      <c r="P44" s="11">
        <v>36720</v>
      </c>
      <c r="R44" s="20">
        <v>31.852231220134883</v>
      </c>
      <c r="T44" s="5">
        <f t="shared" si="10"/>
        <v>212.09000000000003</v>
      </c>
    </row>
    <row r="45" spans="1:25" x14ac:dyDescent="0.25">
      <c r="A45" s="3">
        <v>2001</v>
      </c>
      <c r="B45" s="11">
        <v>37087</v>
      </c>
      <c r="D45" s="4">
        <v>4.9500000000000028</v>
      </c>
      <c r="F45" s="5">
        <f t="shared" si="8"/>
        <v>148.94999999999999</v>
      </c>
      <c r="H45" s="3">
        <v>2001</v>
      </c>
      <c r="I45" s="11">
        <v>37087</v>
      </c>
      <c r="K45" s="4">
        <v>6.5600000000000165</v>
      </c>
      <c r="M45" s="5">
        <f t="shared" si="9"/>
        <v>167.82</v>
      </c>
      <c r="O45" s="3">
        <v>2005</v>
      </c>
      <c r="P45" s="11">
        <v>38640</v>
      </c>
      <c r="R45" s="20">
        <v>36.294335278237384</v>
      </c>
      <c r="T45" s="5">
        <f t="shared" si="10"/>
        <v>248.38433527823742</v>
      </c>
    </row>
    <row r="46" spans="1:25" x14ac:dyDescent="0.25">
      <c r="A46" s="3">
        <v>2005</v>
      </c>
      <c r="B46" s="11">
        <v>38555</v>
      </c>
      <c r="D46" s="4">
        <v>18.28</v>
      </c>
      <c r="F46" s="5">
        <f t="shared" si="8"/>
        <v>167.23</v>
      </c>
      <c r="H46" s="3">
        <v>2005</v>
      </c>
      <c r="I46" s="11">
        <v>38640</v>
      </c>
      <c r="K46" s="4">
        <v>32.449999999999989</v>
      </c>
      <c r="M46" s="5">
        <f t="shared" si="9"/>
        <v>200.26999999999998</v>
      </c>
      <c r="O46" s="3">
        <v>2006</v>
      </c>
      <c r="P46" s="11">
        <v>38990</v>
      </c>
      <c r="R46" s="20">
        <v>4.6554804081609404</v>
      </c>
      <c r="T46" s="5">
        <f t="shared" si="10"/>
        <v>253.03981568639836</v>
      </c>
    </row>
    <row r="47" spans="1:25" x14ac:dyDescent="0.25">
      <c r="A47" s="3">
        <v>2006</v>
      </c>
      <c r="B47" s="11">
        <v>38990</v>
      </c>
      <c r="D47" s="4">
        <v>3.8900000000000006</v>
      </c>
      <c r="F47" s="5">
        <f t="shared" si="8"/>
        <v>171.12</v>
      </c>
      <c r="H47" s="3">
        <v>2006</v>
      </c>
      <c r="I47" s="11">
        <v>38990</v>
      </c>
      <c r="K47" s="4">
        <v>4.0600000000000023</v>
      </c>
      <c r="M47" s="5">
        <f t="shared" si="9"/>
        <v>204.32999999999998</v>
      </c>
      <c r="O47" s="3">
        <v>2010</v>
      </c>
      <c r="P47" s="11">
        <v>40383</v>
      </c>
      <c r="R47" s="20">
        <v>31.160000000000025</v>
      </c>
      <c r="T47" s="5">
        <f t="shared" si="10"/>
        <v>284.19981568639838</v>
      </c>
    </row>
    <row r="48" spans="1:25" x14ac:dyDescent="0.25">
      <c r="A48" s="3">
        <v>2010</v>
      </c>
      <c r="B48" s="11">
        <v>40383</v>
      </c>
      <c r="D48" s="4">
        <v>12.930000000000007</v>
      </c>
      <c r="F48" s="5">
        <f t="shared" si="8"/>
        <v>184.05</v>
      </c>
      <c r="H48" s="3">
        <v>2009</v>
      </c>
      <c r="I48" s="11">
        <v>40014</v>
      </c>
      <c r="K48" s="4">
        <v>15.989999999999995</v>
      </c>
      <c r="M48" s="5">
        <f t="shared" si="9"/>
        <v>220.32</v>
      </c>
      <c r="O48" s="3">
        <v>2011</v>
      </c>
      <c r="P48" s="11">
        <v>40800</v>
      </c>
      <c r="R48" s="4">
        <v>0.63999999999998636</v>
      </c>
      <c r="T48" s="5">
        <f t="shared" si="10"/>
        <v>284.83981568639837</v>
      </c>
    </row>
    <row r="49" spans="1:20" x14ac:dyDescent="0.25">
      <c r="A49" s="3">
        <v>2012</v>
      </c>
      <c r="B49" s="11">
        <v>41198</v>
      </c>
      <c r="D49" s="12">
        <v>0.96999999999999886</v>
      </c>
      <c r="F49" s="5">
        <f t="shared" si="8"/>
        <v>185.02</v>
      </c>
      <c r="H49" s="3">
        <v>2010</v>
      </c>
      <c r="I49" s="11">
        <v>40383</v>
      </c>
      <c r="K49" s="4">
        <v>2.2900000000000027</v>
      </c>
      <c r="M49" s="5">
        <f t="shared" si="9"/>
        <v>222.60999999999999</v>
      </c>
      <c r="O49" s="3">
        <v>2012</v>
      </c>
      <c r="P49" s="11">
        <v>41198</v>
      </c>
      <c r="R49" s="4">
        <v>0.74000000000000909</v>
      </c>
      <c r="T49" s="5">
        <f t="shared" si="10"/>
        <v>285.57981568639838</v>
      </c>
    </row>
    <row r="50" spans="1:20" x14ac:dyDescent="0.25">
      <c r="A50" s="3">
        <v>2013</v>
      </c>
      <c r="B50" s="11">
        <v>41464</v>
      </c>
      <c r="D50" s="12">
        <v>2.029999999999994</v>
      </c>
      <c r="F50" s="5">
        <f t="shared" si="8"/>
        <v>187.05</v>
      </c>
      <c r="H50" s="3">
        <v>2011</v>
      </c>
      <c r="I50" s="11">
        <v>40800</v>
      </c>
      <c r="K50" s="7">
        <v>0.89000000000000057</v>
      </c>
      <c r="M50" s="5">
        <f t="shared" si="9"/>
        <v>223.5</v>
      </c>
      <c r="O50" s="3">
        <v>2013</v>
      </c>
      <c r="P50" s="11">
        <v>41464</v>
      </c>
      <c r="R50" s="4">
        <v>6.05</v>
      </c>
      <c r="T50" s="5">
        <f t="shared" si="10"/>
        <v>291.62981568639839</v>
      </c>
    </row>
    <row r="51" spans="1:20" x14ac:dyDescent="0.25">
      <c r="A51" s="3">
        <v>2016</v>
      </c>
      <c r="B51" s="11">
        <v>42515</v>
      </c>
      <c r="D51" s="12">
        <v>9.2899999999999991</v>
      </c>
      <c r="F51" s="5">
        <f t="shared" si="8"/>
        <v>196.34</v>
      </c>
      <c r="H51" s="3">
        <v>2012</v>
      </c>
      <c r="I51" s="11">
        <v>41198</v>
      </c>
      <c r="K51" s="7">
        <v>1.120000000000001</v>
      </c>
      <c r="M51" s="5">
        <f t="shared" si="9"/>
        <v>224.62</v>
      </c>
      <c r="O51" s="3">
        <v>2016</v>
      </c>
      <c r="P51" s="11">
        <v>42515</v>
      </c>
      <c r="R51" s="4">
        <v>12.049999999999983</v>
      </c>
      <c r="T51" s="5">
        <f t="shared" si="10"/>
        <v>303.67981568639834</v>
      </c>
    </row>
    <row r="52" spans="1:20" x14ac:dyDescent="0.25">
      <c r="A52" s="3">
        <v>2019</v>
      </c>
      <c r="B52" s="1">
        <v>43691</v>
      </c>
      <c r="D52" s="12">
        <v>7.4000000000000057</v>
      </c>
      <c r="F52" s="5">
        <f t="shared" si="8"/>
        <v>203.74</v>
      </c>
      <c r="H52" s="3">
        <v>2013</v>
      </c>
      <c r="I52" s="11">
        <v>41464</v>
      </c>
      <c r="K52" s="7">
        <v>1.2099999999999973</v>
      </c>
      <c r="M52" s="5">
        <f t="shared" si="9"/>
        <v>225.83</v>
      </c>
      <c r="O52" s="3">
        <v>2019</v>
      </c>
      <c r="P52" s="1">
        <v>43691</v>
      </c>
      <c r="R52" s="4">
        <v>3.3500000000000085</v>
      </c>
      <c r="T52" s="5">
        <f t="shared" si="10"/>
        <v>307.02981568639836</v>
      </c>
    </row>
    <row r="53" spans="1:20" x14ac:dyDescent="0.25">
      <c r="A53" s="3">
        <v>2021</v>
      </c>
      <c r="B53" s="2">
        <v>44384</v>
      </c>
      <c r="D53" s="12">
        <v>16.8</v>
      </c>
      <c r="F53" s="5">
        <f t="shared" si="8"/>
        <v>220.54000000000002</v>
      </c>
      <c r="H53" s="3">
        <v>2016</v>
      </c>
      <c r="I53" s="11">
        <v>42515</v>
      </c>
      <c r="K53" s="7">
        <v>8.1500000000000021</v>
      </c>
      <c r="M53" s="5">
        <f t="shared" si="9"/>
        <v>233.98000000000002</v>
      </c>
      <c r="O53" s="3">
        <v>2021</v>
      </c>
      <c r="P53" s="2">
        <v>44384</v>
      </c>
      <c r="R53" s="4">
        <v>1.480000000000004</v>
      </c>
      <c r="T53" s="5">
        <f t="shared" si="10"/>
        <v>308.50981568639838</v>
      </c>
    </row>
    <row r="54" spans="1:20" x14ac:dyDescent="0.25">
      <c r="A54" s="3">
        <v>2023</v>
      </c>
      <c r="B54" s="2">
        <v>45202</v>
      </c>
      <c r="D54" s="12">
        <v>23.73</v>
      </c>
      <c r="F54" s="5">
        <f t="shared" si="8"/>
        <v>244.27</v>
      </c>
      <c r="H54" s="3">
        <v>2019</v>
      </c>
      <c r="I54" s="1">
        <v>43691</v>
      </c>
      <c r="K54" s="7">
        <v>3.59</v>
      </c>
      <c r="M54" s="5">
        <f t="shared" si="9"/>
        <v>237.57000000000002</v>
      </c>
      <c r="O54" s="3">
        <v>2023</v>
      </c>
      <c r="P54" s="2">
        <v>45202</v>
      </c>
      <c r="R54" s="4">
        <v>1.43</v>
      </c>
      <c r="T54" s="5">
        <f t="shared" si="10"/>
        <v>309.93981568639839</v>
      </c>
    </row>
    <row r="55" spans="1:20" x14ac:dyDescent="0.25">
      <c r="H55" s="3">
        <v>2021</v>
      </c>
      <c r="I55" s="2">
        <v>44384</v>
      </c>
      <c r="K55" s="7">
        <v>7.2700000000000102</v>
      </c>
      <c r="M55" s="5">
        <f t="shared" si="9"/>
        <v>244.84000000000003</v>
      </c>
    </row>
    <row r="56" spans="1:20" x14ac:dyDescent="0.25">
      <c r="H56" s="3">
        <v>2023</v>
      </c>
      <c r="I56" s="2">
        <v>45202</v>
      </c>
      <c r="K56" s="7">
        <v>1.65</v>
      </c>
      <c r="M56" s="5">
        <f t="shared" si="9"/>
        <v>246.49000000000004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opLeftCell="F16" workbookViewId="0">
      <selection activeCell="Q35" sqref="Q35"/>
    </sheetView>
  </sheetViews>
  <sheetFormatPr defaultRowHeight="15" x14ac:dyDescent="0.25"/>
  <cols>
    <col min="2" max="2" width="11.85546875" customWidth="1"/>
    <col min="3" max="3" width="9.140625" customWidth="1"/>
    <col min="6" max="6" width="9.140625" customWidth="1"/>
    <col min="7" max="7" width="11.5703125" customWidth="1"/>
    <col min="8" max="8" width="11.140625" customWidth="1"/>
    <col min="14" max="14" width="12.7109375" customWidth="1"/>
  </cols>
  <sheetData>
    <row r="1" spans="1:21" x14ac:dyDescent="0.25">
      <c r="B1" s="3" t="s">
        <v>9</v>
      </c>
    </row>
    <row r="2" spans="1:21" x14ac:dyDescent="0.25">
      <c r="C2" s="3" t="s">
        <v>1</v>
      </c>
      <c r="H2" s="3" t="s">
        <v>2</v>
      </c>
      <c r="M2" s="3" t="s">
        <v>3</v>
      </c>
      <c r="R2" s="8"/>
      <c r="S2" s="7"/>
      <c r="T2" s="7"/>
      <c r="U2" s="7"/>
    </row>
    <row r="3" spans="1:21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t="s">
        <v>47</v>
      </c>
      <c r="T3" t="s">
        <v>48</v>
      </c>
    </row>
    <row r="4" spans="1:21" x14ac:dyDescent="0.25">
      <c r="A4">
        <v>1987</v>
      </c>
      <c r="B4" s="31">
        <v>31958</v>
      </c>
      <c r="C4" s="3"/>
      <c r="H4" s="3"/>
      <c r="M4" s="3"/>
      <c r="R4" s="8"/>
      <c r="S4" s="109">
        <v>1986</v>
      </c>
      <c r="T4" s="4">
        <v>14.350000000000001</v>
      </c>
      <c r="U4" s="4">
        <v>15.34</v>
      </c>
    </row>
    <row r="5" spans="1:21" x14ac:dyDescent="0.25">
      <c r="A5">
        <v>1990</v>
      </c>
      <c r="B5" s="31">
        <v>33021</v>
      </c>
      <c r="C5" s="23">
        <v>1063</v>
      </c>
      <c r="D5" s="4">
        <v>0.68999999999999773</v>
      </c>
      <c r="E5">
        <v>365</v>
      </c>
      <c r="F5" s="10">
        <f>E5*D5/C5</f>
        <v>0.23692380056443949</v>
      </c>
      <c r="G5" s="3">
        <v>1990</v>
      </c>
      <c r="H5" s="25">
        <v>1063</v>
      </c>
      <c r="I5">
        <v>2.4499999999999886</v>
      </c>
      <c r="J5">
        <v>365</v>
      </c>
      <c r="K5" s="10">
        <f t="shared" ref="K5:K17" si="0">J5*I5/H5</f>
        <v>0.84125117591721155</v>
      </c>
      <c r="L5" s="3">
        <v>1990</v>
      </c>
      <c r="M5" s="23">
        <v>1063</v>
      </c>
      <c r="N5" s="4">
        <v>3.4599999999999937</v>
      </c>
      <c r="O5">
        <v>365</v>
      </c>
      <c r="P5" s="6">
        <f>O5*N5/M5</f>
        <v>1.1880526810912491</v>
      </c>
      <c r="R5" s="8"/>
      <c r="S5" s="109">
        <v>1987</v>
      </c>
      <c r="T5" s="4">
        <v>14.45</v>
      </c>
      <c r="U5" s="4">
        <v>15.379999999999999</v>
      </c>
    </row>
    <row r="6" spans="1:21" x14ac:dyDescent="0.25">
      <c r="A6">
        <v>1995</v>
      </c>
      <c r="B6" s="31">
        <v>34899</v>
      </c>
      <c r="C6" s="23">
        <v>1878</v>
      </c>
      <c r="D6" s="4">
        <v>7.7800000000000153</v>
      </c>
      <c r="E6">
        <v>365</v>
      </c>
      <c r="F6" s="6">
        <f t="shared" ref="F6:F17" si="1">E6*D6/C6</f>
        <v>1.51208732694356</v>
      </c>
      <c r="G6" s="3">
        <v>1995</v>
      </c>
      <c r="H6" s="25">
        <v>1878</v>
      </c>
      <c r="I6">
        <v>6.75</v>
      </c>
      <c r="J6">
        <v>365</v>
      </c>
      <c r="K6" s="6">
        <f t="shared" si="0"/>
        <v>1.3119009584664536</v>
      </c>
      <c r="L6" s="3">
        <v>1995</v>
      </c>
      <c r="M6" s="23">
        <v>1878</v>
      </c>
      <c r="N6" s="4">
        <v>9.3700000000000045</v>
      </c>
      <c r="O6">
        <v>365</v>
      </c>
      <c r="P6" s="6">
        <f t="shared" ref="P6:P17" si="2">O6*N6/M6</f>
        <v>1.8211128860489891</v>
      </c>
      <c r="R6" s="8"/>
      <c r="S6" s="109">
        <v>1988</v>
      </c>
      <c r="T6" s="4">
        <v>14.605</v>
      </c>
      <c r="U6" s="4">
        <v>15.59</v>
      </c>
    </row>
    <row r="7" spans="1:21" x14ac:dyDescent="0.25">
      <c r="A7">
        <v>2000</v>
      </c>
      <c r="B7" s="31">
        <v>36722</v>
      </c>
      <c r="C7" s="23">
        <v>1823</v>
      </c>
      <c r="D7" s="4">
        <v>4.2599999999999909</v>
      </c>
      <c r="E7">
        <v>366</v>
      </c>
      <c r="F7" s="10">
        <f t="shared" si="1"/>
        <v>0.85527153044432069</v>
      </c>
      <c r="G7" s="3">
        <v>2000</v>
      </c>
      <c r="H7" s="25">
        <v>1823</v>
      </c>
      <c r="I7">
        <v>4.3700000000000045</v>
      </c>
      <c r="J7">
        <v>366</v>
      </c>
      <c r="K7" s="10">
        <f t="shared" si="0"/>
        <v>0.87735600658255719</v>
      </c>
      <c r="L7" s="3">
        <v>2000</v>
      </c>
      <c r="M7" s="23">
        <v>1823</v>
      </c>
      <c r="N7" s="4">
        <v>5.6000000000000014</v>
      </c>
      <c r="O7">
        <v>366</v>
      </c>
      <c r="P7" s="6">
        <f t="shared" si="2"/>
        <v>1.1243006034009875</v>
      </c>
      <c r="R7" s="8"/>
      <c r="S7" s="109">
        <v>1989</v>
      </c>
      <c r="T7" s="4">
        <v>14.335000000000001</v>
      </c>
      <c r="U7" s="4">
        <v>15.23</v>
      </c>
    </row>
    <row r="8" spans="1:21" x14ac:dyDescent="0.25">
      <c r="A8">
        <v>2001</v>
      </c>
      <c r="B8" s="31">
        <v>37082</v>
      </c>
      <c r="C8" s="23">
        <v>360</v>
      </c>
      <c r="D8" s="4">
        <v>0.71999999999999886</v>
      </c>
      <c r="E8">
        <v>365</v>
      </c>
      <c r="F8" s="10">
        <f t="shared" si="1"/>
        <v>0.72999999999999887</v>
      </c>
      <c r="G8" s="3">
        <v>2001</v>
      </c>
      <c r="H8" s="25">
        <v>360</v>
      </c>
      <c r="I8">
        <v>3.8800000000000026</v>
      </c>
      <c r="J8">
        <v>365</v>
      </c>
      <c r="K8" s="6">
        <f t="shared" si="0"/>
        <v>3.9338888888888914</v>
      </c>
      <c r="L8" s="3">
        <v>2001</v>
      </c>
      <c r="M8" s="23">
        <v>360</v>
      </c>
      <c r="N8" s="4">
        <v>1.6199999999999974</v>
      </c>
      <c r="O8">
        <v>365</v>
      </c>
      <c r="P8" s="6">
        <f t="shared" si="2"/>
        <v>1.6424999999999974</v>
      </c>
      <c r="R8" s="8"/>
      <c r="S8" s="109">
        <v>1990</v>
      </c>
      <c r="T8" s="4">
        <v>14.795</v>
      </c>
      <c r="U8" s="4">
        <v>15.31</v>
      </c>
    </row>
    <row r="9" spans="1:21" x14ac:dyDescent="0.25">
      <c r="A9">
        <v>2003</v>
      </c>
      <c r="B9" s="31">
        <v>37819</v>
      </c>
      <c r="C9" s="23">
        <v>737</v>
      </c>
      <c r="D9" s="4">
        <v>3.0200000000000102</v>
      </c>
      <c r="E9">
        <v>365</v>
      </c>
      <c r="F9" s="6">
        <f t="shared" si="1"/>
        <v>1.4956580732700187</v>
      </c>
      <c r="G9" s="3">
        <v>2003</v>
      </c>
      <c r="H9" s="25">
        <v>737</v>
      </c>
      <c r="I9">
        <v>2.6499999999999986</v>
      </c>
      <c r="J9">
        <v>365</v>
      </c>
      <c r="K9" s="6">
        <f t="shared" si="0"/>
        <v>1.3124151967435542</v>
      </c>
      <c r="L9" s="3">
        <v>2003</v>
      </c>
      <c r="M9" s="23">
        <v>737</v>
      </c>
      <c r="N9" s="4">
        <v>2.7500000000000071</v>
      </c>
      <c r="O9">
        <v>365</v>
      </c>
      <c r="P9" s="6">
        <f t="shared" si="2"/>
        <v>1.3619402985074662</v>
      </c>
      <c r="R9" s="8"/>
      <c r="S9" s="109">
        <v>1991</v>
      </c>
      <c r="T9" s="4">
        <v>14.719999999999999</v>
      </c>
      <c r="U9" s="4">
        <v>16.04</v>
      </c>
    </row>
    <row r="10" spans="1:21" x14ac:dyDescent="0.25">
      <c r="A10">
        <v>2004</v>
      </c>
      <c r="B10" s="31">
        <v>38189</v>
      </c>
      <c r="C10" s="23">
        <v>370</v>
      </c>
      <c r="D10" s="4">
        <v>0.97999999999998977</v>
      </c>
      <c r="E10">
        <v>365</v>
      </c>
      <c r="F10" s="10">
        <f t="shared" si="1"/>
        <v>0.96675675675674677</v>
      </c>
      <c r="G10" s="3">
        <v>2004</v>
      </c>
      <c r="H10" s="25">
        <v>370</v>
      </c>
      <c r="I10">
        <v>1.8199999999999932</v>
      </c>
      <c r="J10">
        <v>365</v>
      </c>
      <c r="K10" s="6">
        <f t="shared" si="0"/>
        <v>1.7954054054053985</v>
      </c>
      <c r="L10" s="3">
        <v>2004</v>
      </c>
      <c r="M10" s="23">
        <v>370</v>
      </c>
      <c r="N10" s="4">
        <v>2.1199999999999974</v>
      </c>
      <c r="O10">
        <v>365</v>
      </c>
      <c r="P10" s="6">
        <f t="shared" si="2"/>
        <v>2.0913513513513489</v>
      </c>
      <c r="R10" s="8"/>
      <c r="S10" s="109">
        <v>1992</v>
      </c>
      <c r="T10" s="4">
        <v>14.719999999999999</v>
      </c>
      <c r="U10" s="4">
        <v>15.21</v>
      </c>
    </row>
    <row r="11" spans="1:21" x14ac:dyDescent="0.25">
      <c r="A11">
        <v>2005</v>
      </c>
      <c r="B11" s="31">
        <v>38551</v>
      </c>
      <c r="C11" s="23">
        <v>362</v>
      </c>
      <c r="D11" s="4">
        <v>0.23000000000000398</v>
      </c>
      <c r="E11">
        <v>365</v>
      </c>
      <c r="F11" s="10">
        <f t="shared" si="1"/>
        <v>0.23190607734807031</v>
      </c>
      <c r="G11" s="3">
        <v>2005</v>
      </c>
      <c r="H11" s="25">
        <v>362</v>
      </c>
      <c r="I11">
        <v>0.55000000000000426</v>
      </c>
      <c r="J11">
        <v>365</v>
      </c>
      <c r="K11" s="10">
        <f t="shared" si="0"/>
        <v>0.55455801104972813</v>
      </c>
      <c r="L11" s="3">
        <v>2005</v>
      </c>
      <c r="M11" s="23">
        <v>362</v>
      </c>
      <c r="N11" s="4">
        <v>0.35999999999999943</v>
      </c>
      <c r="O11">
        <v>365</v>
      </c>
      <c r="P11" s="10">
        <f t="shared" si="2"/>
        <v>0.36298342541436412</v>
      </c>
      <c r="R11" s="8"/>
      <c r="S11" s="109">
        <v>1993</v>
      </c>
      <c r="T11" s="4">
        <v>14.635000000000002</v>
      </c>
      <c r="U11" s="4">
        <v>15.219999999999999</v>
      </c>
    </row>
    <row r="12" spans="1:21" x14ac:dyDescent="0.25">
      <c r="A12">
        <v>2006</v>
      </c>
      <c r="B12" s="31">
        <v>38926</v>
      </c>
      <c r="C12" s="23"/>
      <c r="D12" s="4"/>
      <c r="F12" s="10"/>
      <c r="G12" s="3"/>
      <c r="H12" s="25"/>
      <c r="K12" s="10"/>
      <c r="L12" s="3"/>
      <c r="M12" s="23"/>
      <c r="N12" s="4"/>
      <c r="P12" s="10"/>
      <c r="R12" s="8"/>
      <c r="S12" s="109">
        <v>1994</v>
      </c>
      <c r="T12" s="4">
        <v>14.655000000000001</v>
      </c>
      <c r="U12" s="4">
        <v>15.34</v>
      </c>
    </row>
    <row r="13" spans="1:21" x14ac:dyDescent="0.25">
      <c r="A13">
        <v>2006</v>
      </c>
      <c r="B13" s="31">
        <v>38992</v>
      </c>
      <c r="C13" s="23">
        <v>441</v>
      </c>
      <c r="D13" s="4">
        <v>1.8999999999999986</v>
      </c>
      <c r="E13">
        <v>365</v>
      </c>
      <c r="F13" s="6">
        <f t="shared" si="1"/>
        <v>1.5725623582766426</v>
      </c>
      <c r="G13" s="3">
        <v>2006</v>
      </c>
      <c r="H13" s="25">
        <v>441</v>
      </c>
      <c r="I13">
        <v>2.6000000000000014</v>
      </c>
      <c r="J13">
        <v>365</v>
      </c>
      <c r="K13" s="6">
        <f t="shared" si="0"/>
        <v>2.1519274376417248</v>
      </c>
      <c r="L13" s="3">
        <v>2006</v>
      </c>
      <c r="M13" s="23">
        <v>441</v>
      </c>
      <c r="N13" s="4">
        <v>1.5500000000000043</v>
      </c>
      <c r="O13">
        <v>365</v>
      </c>
      <c r="P13" s="6">
        <f t="shared" si="2"/>
        <v>1.2828798185941079</v>
      </c>
      <c r="R13" s="8"/>
      <c r="S13" s="109">
        <v>1995</v>
      </c>
      <c r="T13" s="4">
        <v>14.75</v>
      </c>
      <c r="U13" s="4">
        <v>15.58</v>
      </c>
    </row>
    <row r="14" spans="1:21" x14ac:dyDescent="0.25">
      <c r="A14">
        <v>2008</v>
      </c>
      <c r="B14" s="31">
        <v>39774</v>
      </c>
      <c r="C14" s="23">
        <v>782</v>
      </c>
      <c r="D14" s="4">
        <v>2.6099999999999994</v>
      </c>
      <c r="E14">
        <v>366</v>
      </c>
      <c r="F14" s="6">
        <f t="shared" si="1"/>
        <v>1.2215601023017899</v>
      </c>
      <c r="G14" s="3">
        <v>2008</v>
      </c>
      <c r="H14" s="25">
        <v>782</v>
      </c>
      <c r="I14">
        <v>3.7199999999999989</v>
      </c>
      <c r="J14">
        <v>366</v>
      </c>
      <c r="K14" s="6">
        <f t="shared" si="0"/>
        <v>1.7410741687979534</v>
      </c>
      <c r="L14" s="3">
        <v>2008</v>
      </c>
      <c r="M14" s="23">
        <v>782</v>
      </c>
      <c r="N14" s="4">
        <v>2.7999999999999972</v>
      </c>
      <c r="O14">
        <v>366</v>
      </c>
      <c r="P14" s="6">
        <f t="shared" si="2"/>
        <v>1.310485933503835</v>
      </c>
      <c r="R14" s="8"/>
      <c r="S14" s="109">
        <v>1996</v>
      </c>
      <c r="T14" s="4">
        <v>14.524999999999999</v>
      </c>
      <c r="U14" s="4">
        <v>15.280000000000001</v>
      </c>
    </row>
    <row r="15" spans="1:21" x14ac:dyDescent="0.25">
      <c r="A15">
        <v>2009</v>
      </c>
      <c r="B15" s="31">
        <v>40011</v>
      </c>
      <c r="C15" s="23"/>
      <c r="D15" s="4"/>
      <c r="F15" s="10"/>
      <c r="G15" s="3"/>
      <c r="H15" s="25"/>
      <c r="K15" s="10"/>
      <c r="L15" s="3"/>
      <c r="M15" s="23"/>
      <c r="N15" s="4"/>
      <c r="P15" s="10"/>
      <c r="R15" s="8"/>
      <c r="S15" s="109">
        <v>1997</v>
      </c>
      <c r="T15" s="4">
        <v>14.685</v>
      </c>
      <c r="U15" s="4">
        <v>15.5</v>
      </c>
    </row>
    <row r="16" spans="1:21" x14ac:dyDescent="0.25">
      <c r="A16">
        <v>2009</v>
      </c>
      <c r="B16" s="31">
        <v>40087</v>
      </c>
      <c r="C16" s="23">
        <v>313</v>
      </c>
      <c r="D16" s="4">
        <v>1.0600000000000023</v>
      </c>
      <c r="E16">
        <v>365</v>
      </c>
      <c r="F16" s="6">
        <f t="shared" si="1"/>
        <v>1.2361022364217278</v>
      </c>
      <c r="G16" s="3">
        <v>2009</v>
      </c>
      <c r="H16" s="25">
        <v>313</v>
      </c>
      <c r="I16">
        <v>1.0700000000000003</v>
      </c>
      <c r="J16">
        <v>365</v>
      </c>
      <c r="K16" s="6">
        <f t="shared" si="0"/>
        <v>1.2477635782747607</v>
      </c>
      <c r="L16" s="3">
        <v>2009</v>
      </c>
      <c r="M16" s="23">
        <v>313</v>
      </c>
      <c r="N16" s="4">
        <v>0.57000000000000028</v>
      </c>
      <c r="O16">
        <v>365</v>
      </c>
      <c r="P16" s="10">
        <f t="shared" si="2"/>
        <v>0.66469648562300354</v>
      </c>
      <c r="R16" s="8"/>
      <c r="S16" s="109">
        <v>1998</v>
      </c>
      <c r="T16" s="4">
        <v>14.68</v>
      </c>
      <c r="U16" s="4">
        <v>15.39</v>
      </c>
    </row>
    <row r="17" spans="1:21" x14ac:dyDescent="0.25">
      <c r="A17">
        <v>2010</v>
      </c>
      <c r="B17" s="31">
        <v>40381</v>
      </c>
      <c r="C17" s="23">
        <v>294</v>
      </c>
      <c r="D17" s="4">
        <v>6.0000000000002274E-2</v>
      </c>
      <c r="E17">
        <v>365</v>
      </c>
      <c r="F17" s="10">
        <f t="shared" si="1"/>
        <v>7.4489795918370169E-2</v>
      </c>
      <c r="G17" s="3">
        <v>2010</v>
      </c>
      <c r="H17" s="25">
        <v>294</v>
      </c>
      <c r="I17">
        <v>0.32000000000000028</v>
      </c>
      <c r="J17">
        <v>365</v>
      </c>
      <c r="K17" s="10">
        <f t="shared" si="0"/>
        <v>0.39727891156462619</v>
      </c>
      <c r="L17" s="3">
        <v>2010</v>
      </c>
      <c r="M17" s="23">
        <v>294</v>
      </c>
      <c r="N17" s="4">
        <v>1.2800000000000011</v>
      </c>
      <c r="O17">
        <v>365</v>
      </c>
      <c r="P17" s="6">
        <f t="shared" si="2"/>
        <v>1.5891156462585048</v>
      </c>
      <c r="R17" s="8"/>
      <c r="S17" s="109">
        <v>1999</v>
      </c>
      <c r="T17" s="4">
        <v>14.654999999999999</v>
      </c>
      <c r="U17" s="4">
        <v>15.25</v>
      </c>
    </row>
    <row r="18" spans="1:21" x14ac:dyDescent="0.25">
      <c r="A18">
        <v>2011</v>
      </c>
      <c r="B18" s="1">
        <v>40737</v>
      </c>
      <c r="C18" s="12">
        <v>356</v>
      </c>
      <c r="D18" s="12">
        <v>0.70000000000000284</v>
      </c>
      <c r="E18" s="21">
        <v>365</v>
      </c>
      <c r="F18" s="10">
        <f>E18*D18/C18</f>
        <v>0.71769662921348598</v>
      </c>
      <c r="G18" s="8">
        <v>2011</v>
      </c>
      <c r="H18" s="7">
        <v>356</v>
      </c>
      <c r="I18" s="9">
        <v>7.9999999999998295E-2</v>
      </c>
      <c r="J18" s="21">
        <v>365</v>
      </c>
      <c r="K18" s="10">
        <f t="shared" ref="K18" si="3">J18*I18/H18</f>
        <v>8.2022471910110611E-2</v>
      </c>
      <c r="L18" s="8">
        <v>2011</v>
      </c>
      <c r="M18" s="29">
        <v>356</v>
      </c>
      <c r="N18" s="9">
        <v>1.9999999999996021E-2</v>
      </c>
      <c r="O18" s="21">
        <v>365</v>
      </c>
      <c r="P18" s="10">
        <f>O18*N18/M18</f>
        <v>2.050561797752401E-2</v>
      </c>
      <c r="Q18" s="3"/>
      <c r="R18" s="9"/>
      <c r="S18" s="109">
        <v>2000</v>
      </c>
      <c r="T18" s="4">
        <v>14.75</v>
      </c>
      <c r="U18" s="4">
        <v>15.31</v>
      </c>
    </row>
    <row r="19" spans="1:21" x14ac:dyDescent="0.25">
      <c r="A19">
        <v>2012</v>
      </c>
      <c r="B19" s="1">
        <v>41177</v>
      </c>
      <c r="C19" s="12">
        <v>440</v>
      </c>
      <c r="D19" s="12">
        <v>0.19999999999999574</v>
      </c>
      <c r="E19" s="21">
        <v>366</v>
      </c>
      <c r="F19" s="10">
        <f>E19*D19/C19</f>
        <v>0.16636363636363283</v>
      </c>
      <c r="G19" s="8">
        <v>2012</v>
      </c>
      <c r="H19" s="7">
        <v>440</v>
      </c>
      <c r="I19" s="9">
        <v>0</v>
      </c>
      <c r="J19" s="21">
        <v>366</v>
      </c>
      <c r="K19" s="10">
        <f>J19*I19/H19</f>
        <v>0</v>
      </c>
      <c r="L19" s="8">
        <v>2012</v>
      </c>
      <c r="M19" s="29">
        <v>440</v>
      </c>
      <c r="N19" s="9">
        <v>0.67000000000000171</v>
      </c>
      <c r="O19" s="21">
        <v>366</v>
      </c>
      <c r="P19" s="10">
        <f>O19*N19/M19</f>
        <v>0.55731818181818327</v>
      </c>
      <c r="Q19" s="3"/>
      <c r="R19" s="9"/>
      <c r="S19" s="109">
        <v>2001</v>
      </c>
      <c r="T19" s="4">
        <v>14.895</v>
      </c>
      <c r="U19" s="4">
        <v>15.600000000000001</v>
      </c>
    </row>
    <row r="20" spans="1:21" x14ac:dyDescent="0.25">
      <c r="A20">
        <v>2013</v>
      </c>
      <c r="B20" s="1">
        <v>41467</v>
      </c>
      <c r="C20" s="12">
        <v>290</v>
      </c>
      <c r="D20" s="12">
        <v>0.57000000000000028</v>
      </c>
      <c r="E20" s="21">
        <v>365</v>
      </c>
      <c r="F20" s="10">
        <f t="shared" ref="F20:F28" si="4">E20*D20/C20</f>
        <v>0.71741379310344866</v>
      </c>
      <c r="G20" s="8">
        <v>2013</v>
      </c>
      <c r="H20" s="7">
        <v>290</v>
      </c>
      <c r="I20" s="9">
        <v>0.88000000000000256</v>
      </c>
      <c r="J20" s="21">
        <v>365</v>
      </c>
      <c r="K20" s="6">
        <f t="shared" ref="K20:K28" si="5">J20*I20/H20</f>
        <v>1.107586206896555</v>
      </c>
      <c r="L20" s="8">
        <v>2013</v>
      </c>
      <c r="M20" s="29">
        <v>290</v>
      </c>
      <c r="N20" s="9">
        <v>3.0000000000001137E-2</v>
      </c>
      <c r="O20" s="21">
        <v>365</v>
      </c>
      <c r="P20" s="10">
        <f t="shared" ref="P20:P28" si="6">O20*N20/M20</f>
        <v>3.7758620689656602E-2</v>
      </c>
      <c r="Q20" s="3"/>
      <c r="R20" s="9"/>
      <c r="S20" s="109">
        <v>2002</v>
      </c>
      <c r="T20" s="4">
        <v>14.825000000000001</v>
      </c>
      <c r="U20" s="4">
        <v>15.3</v>
      </c>
    </row>
    <row r="21" spans="1:21" x14ac:dyDescent="0.25">
      <c r="A21">
        <v>2014</v>
      </c>
      <c r="B21" s="1">
        <v>41829</v>
      </c>
      <c r="C21" s="12">
        <v>362</v>
      </c>
      <c r="D21" s="12">
        <v>2.8800000000000026</v>
      </c>
      <c r="E21" s="21">
        <v>365</v>
      </c>
      <c r="F21" s="6">
        <f t="shared" si="4"/>
        <v>2.9038674033149197</v>
      </c>
      <c r="G21" s="8">
        <v>2014</v>
      </c>
      <c r="H21" s="7">
        <v>362</v>
      </c>
      <c r="I21" s="9">
        <v>2.4799999999999969</v>
      </c>
      <c r="J21" s="21">
        <v>365</v>
      </c>
      <c r="K21" s="6">
        <f t="shared" si="5"/>
        <v>2.5005524861878423</v>
      </c>
      <c r="L21" s="8">
        <v>2014</v>
      </c>
      <c r="M21" s="29">
        <v>362</v>
      </c>
      <c r="N21" s="9">
        <v>0.24000000000000199</v>
      </c>
      <c r="O21" s="21">
        <v>365</v>
      </c>
      <c r="P21" s="10">
        <f t="shared" si="6"/>
        <v>0.24198895027624512</v>
      </c>
      <c r="Q21" s="3"/>
      <c r="R21" s="9"/>
      <c r="S21" s="109">
        <v>2003</v>
      </c>
      <c r="T21" s="4">
        <v>14.89</v>
      </c>
      <c r="U21" s="4">
        <v>15.370000000000001</v>
      </c>
    </row>
    <row r="22" spans="1:21" x14ac:dyDescent="0.25">
      <c r="A22">
        <v>2015</v>
      </c>
      <c r="B22" s="1">
        <v>42199</v>
      </c>
      <c r="C22" s="12">
        <v>370</v>
      </c>
      <c r="D22" s="12">
        <v>0.39999999999999858</v>
      </c>
      <c r="E22" s="21">
        <v>365</v>
      </c>
      <c r="F22" s="10">
        <f t="shared" si="4"/>
        <v>0.39459459459459323</v>
      </c>
      <c r="G22" s="8">
        <v>2015</v>
      </c>
      <c r="H22" s="7">
        <v>370</v>
      </c>
      <c r="I22" s="9">
        <v>0.43999999999999773</v>
      </c>
      <c r="J22" s="21">
        <v>365</v>
      </c>
      <c r="K22" s="10">
        <f t="shared" si="5"/>
        <v>0.43405405405405179</v>
      </c>
      <c r="L22" s="8">
        <v>2015</v>
      </c>
      <c r="M22" s="29">
        <v>370</v>
      </c>
      <c r="N22" s="9">
        <v>7.0000000000000284E-2</v>
      </c>
      <c r="O22" s="21">
        <v>365</v>
      </c>
      <c r="P22" s="10">
        <f t="shared" si="6"/>
        <v>6.9054054054054334E-2</v>
      </c>
      <c r="Q22" s="3"/>
      <c r="R22" s="9"/>
      <c r="S22" s="109">
        <v>2004</v>
      </c>
      <c r="T22" s="4">
        <v>14.805</v>
      </c>
      <c r="U22" s="4">
        <v>15.32</v>
      </c>
    </row>
    <row r="23" spans="1:21" x14ac:dyDescent="0.25">
      <c r="A23">
        <v>2016</v>
      </c>
      <c r="B23" s="1">
        <v>42656</v>
      </c>
      <c r="C23" s="12">
        <v>457</v>
      </c>
      <c r="D23" s="12">
        <v>0.32999999999999829</v>
      </c>
      <c r="E23" s="21">
        <v>366</v>
      </c>
      <c r="F23" s="10">
        <f t="shared" si="4"/>
        <v>0.2642888402625807</v>
      </c>
      <c r="G23" s="8">
        <v>2016</v>
      </c>
      <c r="H23" s="7">
        <v>457</v>
      </c>
      <c r="I23" s="9">
        <v>0.79000000000000625</v>
      </c>
      <c r="J23" s="21">
        <v>366</v>
      </c>
      <c r="K23" s="10">
        <f t="shared" si="5"/>
        <v>0.63269146608315596</v>
      </c>
      <c r="L23" s="8">
        <v>2016</v>
      </c>
      <c r="M23" s="32"/>
      <c r="N23" s="15"/>
      <c r="O23" s="36"/>
      <c r="P23" s="15"/>
      <c r="Q23" s="3"/>
      <c r="R23" s="9"/>
      <c r="S23" s="109">
        <v>2005</v>
      </c>
      <c r="T23" s="4">
        <v>14.93</v>
      </c>
      <c r="U23" s="4">
        <v>15.77</v>
      </c>
    </row>
    <row r="24" spans="1:21" x14ac:dyDescent="0.25">
      <c r="A24">
        <v>2017</v>
      </c>
      <c r="B24" s="1">
        <v>42906</v>
      </c>
      <c r="C24">
        <v>250</v>
      </c>
      <c r="D24">
        <v>1.56</v>
      </c>
      <c r="E24" s="21">
        <v>365</v>
      </c>
      <c r="F24" s="6">
        <f>E24*D24/C24</f>
        <v>2.2776000000000001</v>
      </c>
      <c r="G24" s="8">
        <v>2017</v>
      </c>
      <c r="H24" s="7">
        <v>250</v>
      </c>
      <c r="I24" s="9">
        <v>2.2199999999999989</v>
      </c>
      <c r="J24" s="21">
        <v>365</v>
      </c>
      <c r="K24" s="6">
        <f t="shared" si="5"/>
        <v>3.2411999999999983</v>
      </c>
      <c r="L24" s="8">
        <v>2017</v>
      </c>
      <c r="M24" s="29">
        <v>707</v>
      </c>
      <c r="N24" s="9">
        <v>0.14999999999999858</v>
      </c>
      <c r="O24" s="21">
        <v>365</v>
      </c>
      <c r="P24" s="10">
        <f t="shared" si="6"/>
        <v>7.74398868458267E-2</v>
      </c>
      <c r="R24" s="7"/>
      <c r="S24" s="109">
        <v>2006</v>
      </c>
      <c r="T24" s="4">
        <v>14.81</v>
      </c>
      <c r="U24" s="4">
        <v>15.5</v>
      </c>
    </row>
    <row r="25" spans="1:21" x14ac:dyDescent="0.25">
      <c r="A25">
        <v>2019</v>
      </c>
      <c r="B25" s="1">
        <v>43746</v>
      </c>
      <c r="C25">
        <v>840</v>
      </c>
      <c r="D25">
        <v>1.0899999999999963</v>
      </c>
      <c r="E25" s="21">
        <v>365</v>
      </c>
      <c r="F25" s="10">
        <f t="shared" si="4"/>
        <v>0.47363095238095076</v>
      </c>
      <c r="G25" s="8">
        <v>2019</v>
      </c>
      <c r="H25" s="7">
        <v>840</v>
      </c>
      <c r="I25" s="9">
        <v>1.0300000000000011</v>
      </c>
      <c r="J25" s="21">
        <v>365</v>
      </c>
      <c r="K25" s="10">
        <f t="shared" si="5"/>
        <v>0.4475595238095243</v>
      </c>
      <c r="L25" s="8">
        <v>2019</v>
      </c>
      <c r="M25" s="29">
        <v>840</v>
      </c>
      <c r="N25" s="9">
        <v>0.24000000000000199</v>
      </c>
      <c r="O25" s="21">
        <v>365</v>
      </c>
      <c r="P25" s="10">
        <f t="shared" si="6"/>
        <v>0.10428571428571516</v>
      </c>
      <c r="S25" s="109">
        <v>2007</v>
      </c>
      <c r="T25" s="4">
        <v>14.79</v>
      </c>
      <c r="U25" s="4">
        <v>15.41</v>
      </c>
    </row>
    <row r="26" spans="1:21" x14ac:dyDescent="0.25">
      <c r="A26">
        <v>2020</v>
      </c>
      <c r="B26" s="1">
        <v>44061</v>
      </c>
      <c r="C26">
        <v>315</v>
      </c>
      <c r="D26">
        <v>1.0100000000000051</v>
      </c>
      <c r="E26" s="21">
        <v>366</v>
      </c>
      <c r="F26" s="6">
        <f t="shared" si="4"/>
        <v>1.1735238095238156</v>
      </c>
      <c r="G26" s="8">
        <v>2020</v>
      </c>
      <c r="H26" s="7">
        <v>315</v>
      </c>
      <c r="I26" s="9">
        <v>1.259999999999998</v>
      </c>
      <c r="J26" s="21">
        <v>366</v>
      </c>
      <c r="K26" s="6">
        <f t="shared" si="5"/>
        <v>1.4639999999999977</v>
      </c>
      <c r="L26" s="8">
        <v>2020</v>
      </c>
      <c r="M26" s="7"/>
      <c r="N26" s="9"/>
      <c r="O26" s="21"/>
      <c r="P26" s="10"/>
      <c r="S26" s="109">
        <v>2008</v>
      </c>
      <c r="T26" s="4">
        <v>14.73</v>
      </c>
      <c r="U26" s="4">
        <v>15.690000000000001</v>
      </c>
    </row>
    <row r="27" spans="1:21" x14ac:dyDescent="0.25">
      <c r="A27">
        <v>2022</v>
      </c>
      <c r="B27" s="1">
        <v>44777</v>
      </c>
      <c r="C27">
        <f>B27-B26</f>
        <v>716</v>
      </c>
      <c r="D27">
        <v>1.69</v>
      </c>
      <c r="E27" s="21">
        <v>365</v>
      </c>
      <c r="F27" s="10">
        <f t="shared" si="4"/>
        <v>0.86152234636871516</v>
      </c>
      <c r="G27" s="8">
        <v>2022</v>
      </c>
      <c r="H27" s="7">
        <v>716</v>
      </c>
      <c r="I27" s="9">
        <v>0.98</v>
      </c>
      <c r="J27" s="21">
        <v>365</v>
      </c>
      <c r="K27" s="10">
        <f t="shared" si="5"/>
        <v>0.49958100558659219</v>
      </c>
      <c r="L27" s="8">
        <v>2022</v>
      </c>
      <c r="M27" s="7">
        <v>716</v>
      </c>
      <c r="N27" s="9">
        <v>0.04</v>
      </c>
      <c r="O27" s="21">
        <v>365</v>
      </c>
      <c r="P27" s="10">
        <f t="shared" si="6"/>
        <v>2.0391061452513966E-2</v>
      </c>
      <c r="S27" s="109">
        <v>2009</v>
      </c>
      <c r="T27" s="4">
        <v>14.705</v>
      </c>
      <c r="U27" s="4">
        <v>15.45</v>
      </c>
    </row>
    <row r="28" spans="1:21" x14ac:dyDescent="0.25">
      <c r="A28">
        <v>2023</v>
      </c>
      <c r="B28" s="1">
        <v>45153</v>
      </c>
      <c r="C28">
        <f>B28-B27</f>
        <v>376</v>
      </c>
      <c r="D28">
        <v>0.68</v>
      </c>
      <c r="E28" s="21">
        <v>365</v>
      </c>
      <c r="F28" s="10">
        <f t="shared" si="4"/>
        <v>0.66010638297872348</v>
      </c>
      <c r="G28" s="8">
        <v>2023</v>
      </c>
      <c r="H28" s="7">
        <v>376</v>
      </c>
      <c r="I28" s="9">
        <v>1.02</v>
      </c>
      <c r="J28" s="21">
        <v>365</v>
      </c>
      <c r="K28" s="10">
        <f t="shared" si="5"/>
        <v>0.99015957446808511</v>
      </c>
      <c r="L28" s="8">
        <v>2023</v>
      </c>
      <c r="M28" s="7">
        <v>376</v>
      </c>
      <c r="N28" s="9">
        <v>0.32</v>
      </c>
      <c r="O28" s="28">
        <v>365</v>
      </c>
      <c r="P28" s="10">
        <f t="shared" si="6"/>
        <v>0.31063829787234043</v>
      </c>
      <c r="S28" s="109">
        <v>2010</v>
      </c>
      <c r="T28" s="4">
        <v>14.365</v>
      </c>
      <c r="U28" s="4">
        <v>15.600000000000001</v>
      </c>
    </row>
    <row r="29" spans="1:21" x14ac:dyDescent="0.25"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S29" s="109">
        <v>2011</v>
      </c>
      <c r="T29" s="4">
        <v>14.405000000000001</v>
      </c>
      <c r="U29" s="4">
        <v>15.49</v>
      </c>
    </row>
    <row r="30" spans="1:21" x14ac:dyDescent="0.25">
      <c r="E30" s="3" t="s">
        <v>23</v>
      </c>
      <c r="F30" s="5">
        <f>AVERAGE(F7:F26)</f>
        <v>0.97073814386083945</v>
      </c>
      <c r="G30" s="4"/>
      <c r="H30" s="4"/>
      <c r="I30" s="4"/>
      <c r="J30" s="4"/>
      <c r="K30" s="5">
        <f t="shared" ref="K30" si="7">AVERAGE(K7:K26)</f>
        <v>1.3289629896605795</v>
      </c>
      <c r="L30" s="4"/>
      <c r="M30" s="4"/>
      <c r="N30" s="4"/>
      <c r="O30" s="4"/>
      <c r="P30" s="5">
        <f>AVERAGE(P7:P26)</f>
        <v>0.78366278678755141</v>
      </c>
      <c r="S30" s="109">
        <v>2012</v>
      </c>
      <c r="T30" s="4">
        <v>14.625</v>
      </c>
      <c r="U30" s="4">
        <v>15.52</v>
      </c>
    </row>
    <row r="31" spans="1:21" x14ac:dyDescent="0.25">
      <c r="S31" s="109">
        <v>2013</v>
      </c>
      <c r="T31" s="4">
        <v>14.755000000000001</v>
      </c>
      <c r="U31" s="4">
        <v>15.370000000000001</v>
      </c>
    </row>
    <row r="32" spans="1:21" x14ac:dyDescent="0.25">
      <c r="E32" s="3" t="s">
        <v>27</v>
      </c>
      <c r="F32" s="5">
        <f>MAX(F8:F26)</f>
        <v>2.9038674033149197</v>
      </c>
      <c r="G32" s="4"/>
      <c r="H32" s="4"/>
      <c r="I32" s="4"/>
      <c r="J32" s="4"/>
      <c r="K32" s="5">
        <f t="shared" ref="K32:P32" si="8">MAX(K8:K26)</f>
        <v>3.9338888888888914</v>
      </c>
      <c r="L32" s="4"/>
      <c r="M32" s="4"/>
      <c r="N32" s="4"/>
      <c r="O32" s="4"/>
      <c r="P32" s="5">
        <f t="shared" si="8"/>
        <v>2.0913513513513489</v>
      </c>
      <c r="S32" s="109">
        <v>2014</v>
      </c>
      <c r="T32" s="4">
        <v>14.52</v>
      </c>
      <c r="U32" s="4">
        <v>15.45</v>
      </c>
    </row>
    <row r="33" spans="1:21" x14ac:dyDescent="0.25">
      <c r="S33" s="109">
        <v>2015</v>
      </c>
      <c r="T33" s="4">
        <v>14.55</v>
      </c>
      <c r="U33" s="4">
        <v>15.18</v>
      </c>
    </row>
    <row r="34" spans="1:21" x14ac:dyDescent="0.25">
      <c r="D34" s="3" t="s">
        <v>1</v>
      </c>
      <c r="H34" s="3" t="s">
        <v>2</v>
      </c>
      <c r="N34" s="3" t="s">
        <v>3</v>
      </c>
      <c r="S34" s="109">
        <v>2016</v>
      </c>
      <c r="T34" s="4">
        <v>14.785</v>
      </c>
      <c r="U34" s="4">
        <v>15.600000000000001</v>
      </c>
    </row>
    <row r="35" spans="1:21" x14ac:dyDescent="0.25">
      <c r="F35" t="s">
        <v>50</v>
      </c>
      <c r="L35" t="s">
        <v>50</v>
      </c>
      <c r="Q35" t="s">
        <v>50</v>
      </c>
      <c r="S35" s="109">
        <v>2017</v>
      </c>
      <c r="T35" s="4">
        <v>14.78</v>
      </c>
      <c r="U35" s="4">
        <v>15.45</v>
      </c>
    </row>
    <row r="36" spans="1:21" x14ac:dyDescent="0.25">
      <c r="A36" s="3">
        <v>1987</v>
      </c>
      <c r="B36" s="31">
        <v>31958</v>
      </c>
      <c r="D36">
        <v>0</v>
      </c>
      <c r="F36" s="3">
        <v>0</v>
      </c>
      <c r="G36" s="3">
        <v>1987</v>
      </c>
      <c r="H36" s="31">
        <v>31958</v>
      </c>
      <c r="J36">
        <v>0</v>
      </c>
      <c r="L36" s="3">
        <v>0</v>
      </c>
      <c r="M36" s="3">
        <v>1987</v>
      </c>
      <c r="N36" s="31">
        <v>31958</v>
      </c>
      <c r="O36">
        <v>0</v>
      </c>
      <c r="Q36" s="3">
        <v>0</v>
      </c>
      <c r="S36" s="109">
        <v>2018</v>
      </c>
      <c r="T36" s="4">
        <v>14.64</v>
      </c>
      <c r="U36" s="4">
        <v>15.2</v>
      </c>
    </row>
    <row r="37" spans="1:21" x14ac:dyDescent="0.25">
      <c r="A37" s="3">
        <v>1990</v>
      </c>
      <c r="B37" s="31">
        <v>33021</v>
      </c>
      <c r="D37" s="4">
        <v>0.68999999999999773</v>
      </c>
      <c r="F37" s="5">
        <f>F36+D37</f>
        <v>0.68999999999999773</v>
      </c>
      <c r="G37" s="24">
        <v>1990</v>
      </c>
      <c r="H37" s="31">
        <v>33021</v>
      </c>
      <c r="J37">
        <v>2.4499999999999886</v>
      </c>
      <c r="L37" s="3">
        <f>L36+J37</f>
        <v>2.4499999999999886</v>
      </c>
      <c r="M37" s="3">
        <v>1990</v>
      </c>
      <c r="N37" s="31">
        <v>33021</v>
      </c>
      <c r="O37" s="4">
        <v>3.4599999999999937</v>
      </c>
      <c r="Q37" s="5">
        <f>Q36+O37</f>
        <v>3.4599999999999937</v>
      </c>
    </row>
    <row r="38" spans="1:21" x14ac:dyDescent="0.25">
      <c r="A38" s="3">
        <v>1995</v>
      </c>
      <c r="B38" s="31">
        <v>34899</v>
      </c>
      <c r="D38" s="4">
        <v>7.7800000000000153</v>
      </c>
      <c r="F38" s="5">
        <f t="shared" ref="F38:F58" si="9">F37+D38</f>
        <v>8.4700000000000131</v>
      </c>
      <c r="G38" s="24">
        <v>1995</v>
      </c>
      <c r="H38" s="31">
        <v>34899</v>
      </c>
      <c r="J38">
        <v>6.75</v>
      </c>
      <c r="L38" s="3">
        <f t="shared" ref="L38:L58" si="10">L37+J38</f>
        <v>9.1999999999999886</v>
      </c>
      <c r="M38" s="3">
        <v>1995</v>
      </c>
      <c r="N38" s="31">
        <v>34899</v>
      </c>
      <c r="O38" s="4">
        <v>9.3700000000000045</v>
      </c>
      <c r="Q38" s="5">
        <f t="shared" ref="Q38:Q56" si="11">Q37+O38</f>
        <v>12.829999999999998</v>
      </c>
    </row>
    <row r="39" spans="1:21" x14ac:dyDescent="0.25">
      <c r="A39" s="3">
        <v>2000</v>
      </c>
      <c r="B39" s="31">
        <v>36722</v>
      </c>
      <c r="D39" s="4">
        <v>4.2599999999999909</v>
      </c>
      <c r="F39" s="5">
        <f t="shared" si="9"/>
        <v>12.730000000000004</v>
      </c>
      <c r="G39" s="24">
        <v>2000</v>
      </c>
      <c r="H39" s="31">
        <v>36722</v>
      </c>
      <c r="J39">
        <v>4.3700000000000045</v>
      </c>
      <c r="L39" s="3">
        <f t="shared" si="10"/>
        <v>13.569999999999993</v>
      </c>
      <c r="M39" s="3">
        <v>2000</v>
      </c>
      <c r="N39" s="31">
        <v>36722</v>
      </c>
      <c r="O39" s="4">
        <v>5.6000000000000014</v>
      </c>
      <c r="Q39" s="5">
        <f t="shared" si="11"/>
        <v>18.43</v>
      </c>
    </row>
    <row r="40" spans="1:21" x14ac:dyDescent="0.25">
      <c r="A40" s="3">
        <v>2001</v>
      </c>
      <c r="B40" s="31">
        <v>37082</v>
      </c>
      <c r="D40" s="4">
        <v>0.71999999999999886</v>
      </c>
      <c r="F40" s="5">
        <f t="shared" si="9"/>
        <v>13.450000000000003</v>
      </c>
      <c r="G40" s="24">
        <v>2001</v>
      </c>
      <c r="H40" s="31">
        <v>37082</v>
      </c>
      <c r="J40">
        <v>3.8800000000000026</v>
      </c>
      <c r="L40" s="3">
        <f t="shared" si="10"/>
        <v>17.449999999999996</v>
      </c>
      <c r="M40" s="3">
        <v>2001</v>
      </c>
      <c r="N40" s="31">
        <v>37082</v>
      </c>
      <c r="O40" s="4">
        <v>1.6199999999999974</v>
      </c>
      <c r="Q40" s="5">
        <f t="shared" si="11"/>
        <v>20.049999999999997</v>
      </c>
    </row>
    <row r="41" spans="1:21" x14ac:dyDescent="0.25">
      <c r="A41" s="3">
        <v>2003</v>
      </c>
      <c r="B41" s="31">
        <v>37819</v>
      </c>
      <c r="D41" s="4">
        <v>3.0200000000000102</v>
      </c>
      <c r="F41" s="5">
        <f t="shared" si="9"/>
        <v>16.470000000000013</v>
      </c>
      <c r="G41" s="24">
        <v>2003</v>
      </c>
      <c r="H41" s="31">
        <v>37819</v>
      </c>
      <c r="J41">
        <v>2.6499999999999986</v>
      </c>
      <c r="L41" s="3">
        <f t="shared" si="10"/>
        <v>20.099999999999994</v>
      </c>
      <c r="M41" s="3">
        <v>2003</v>
      </c>
      <c r="N41" s="31">
        <v>37819</v>
      </c>
      <c r="O41" s="4">
        <v>2.7500000000000071</v>
      </c>
      <c r="Q41" s="5">
        <f t="shared" si="11"/>
        <v>22.800000000000004</v>
      </c>
    </row>
    <row r="42" spans="1:21" x14ac:dyDescent="0.25">
      <c r="A42" s="3">
        <v>2004</v>
      </c>
      <c r="B42" s="31">
        <v>38189</v>
      </c>
      <c r="D42" s="4">
        <v>0.97999999999998977</v>
      </c>
      <c r="F42" s="5">
        <f t="shared" si="9"/>
        <v>17.450000000000003</v>
      </c>
      <c r="G42" s="24">
        <v>2004</v>
      </c>
      <c r="H42" s="31">
        <v>38189</v>
      </c>
      <c r="J42">
        <v>1.8199999999999932</v>
      </c>
      <c r="L42" s="3">
        <f t="shared" si="10"/>
        <v>21.919999999999987</v>
      </c>
      <c r="M42" s="3">
        <v>2004</v>
      </c>
      <c r="N42" s="31">
        <v>38189</v>
      </c>
      <c r="O42" s="4">
        <v>2.1199999999999974</v>
      </c>
      <c r="Q42" s="5">
        <f t="shared" si="11"/>
        <v>24.92</v>
      </c>
    </row>
    <row r="43" spans="1:21" x14ac:dyDescent="0.25">
      <c r="A43" s="3">
        <v>2005</v>
      </c>
      <c r="B43" s="31">
        <v>38551</v>
      </c>
      <c r="D43" s="4">
        <v>0.23000000000000398</v>
      </c>
      <c r="F43" s="5">
        <f t="shared" si="9"/>
        <v>17.680000000000007</v>
      </c>
      <c r="G43" s="24">
        <v>2005</v>
      </c>
      <c r="H43" s="31">
        <v>38551</v>
      </c>
      <c r="J43">
        <v>0.55000000000000426</v>
      </c>
      <c r="L43" s="3">
        <f t="shared" si="10"/>
        <v>22.469999999999992</v>
      </c>
      <c r="M43" s="3">
        <v>2005</v>
      </c>
      <c r="N43" s="31">
        <v>38551</v>
      </c>
      <c r="O43" s="4">
        <v>0.35999999999999943</v>
      </c>
      <c r="Q43" s="5">
        <f t="shared" si="11"/>
        <v>25.28</v>
      </c>
    </row>
    <row r="44" spans="1:21" x14ac:dyDescent="0.25">
      <c r="A44" s="3">
        <v>2006</v>
      </c>
      <c r="B44" s="31">
        <v>38992</v>
      </c>
      <c r="D44" s="4">
        <v>1.8999999999999986</v>
      </c>
      <c r="F44" s="5">
        <f t="shared" si="9"/>
        <v>19.580000000000005</v>
      </c>
      <c r="G44" s="24">
        <v>2006</v>
      </c>
      <c r="H44" s="31">
        <v>38992</v>
      </c>
      <c r="J44">
        <v>2.6000000000000014</v>
      </c>
      <c r="L44" s="3">
        <f t="shared" si="10"/>
        <v>25.069999999999993</v>
      </c>
      <c r="M44" s="3">
        <v>2006</v>
      </c>
      <c r="N44" s="31">
        <v>38992</v>
      </c>
      <c r="O44" s="4">
        <v>1.5500000000000043</v>
      </c>
      <c r="Q44" s="5">
        <f t="shared" si="11"/>
        <v>26.830000000000005</v>
      </c>
    </row>
    <row r="45" spans="1:21" x14ac:dyDescent="0.25">
      <c r="A45" s="3">
        <v>2008</v>
      </c>
      <c r="B45" s="31">
        <v>39774</v>
      </c>
      <c r="D45" s="4">
        <v>2.6099999999999994</v>
      </c>
      <c r="F45" s="5">
        <f>F44+D45</f>
        <v>22.190000000000005</v>
      </c>
      <c r="G45" s="24">
        <v>2008</v>
      </c>
      <c r="H45" s="31">
        <v>39774</v>
      </c>
      <c r="J45">
        <v>3.7199999999999989</v>
      </c>
      <c r="L45" s="3">
        <f t="shared" si="10"/>
        <v>28.789999999999992</v>
      </c>
      <c r="M45" s="3">
        <v>2008</v>
      </c>
      <c r="N45" s="31">
        <v>39774</v>
      </c>
      <c r="O45" s="4">
        <v>2.7999999999999972</v>
      </c>
      <c r="Q45" s="5">
        <f t="shared" si="11"/>
        <v>29.630000000000003</v>
      </c>
    </row>
    <row r="46" spans="1:21" x14ac:dyDescent="0.25">
      <c r="A46" s="3">
        <v>2009</v>
      </c>
      <c r="B46" s="31">
        <v>40087</v>
      </c>
      <c r="D46" s="4">
        <v>1.0600000000000023</v>
      </c>
      <c r="F46" s="5">
        <f t="shared" si="9"/>
        <v>23.250000000000007</v>
      </c>
      <c r="G46" s="24">
        <v>2009</v>
      </c>
      <c r="H46" s="31">
        <v>40087</v>
      </c>
      <c r="J46">
        <v>1.0700000000000003</v>
      </c>
      <c r="L46" s="3">
        <f t="shared" si="10"/>
        <v>29.859999999999992</v>
      </c>
      <c r="M46" s="3">
        <v>2009</v>
      </c>
      <c r="N46" s="31">
        <v>40087</v>
      </c>
      <c r="O46" s="4">
        <v>0.57000000000000028</v>
      </c>
      <c r="Q46" s="5">
        <f t="shared" si="11"/>
        <v>30.200000000000003</v>
      </c>
    </row>
    <row r="47" spans="1:21" x14ac:dyDescent="0.25">
      <c r="A47" s="3">
        <v>2010</v>
      </c>
      <c r="B47" s="31">
        <v>40381</v>
      </c>
      <c r="D47" s="4">
        <v>6.0000000000002274E-2</v>
      </c>
      <c r="F47" s="5">
        <f t="shared" si="9"/>
        <v>23.310000000000009</v>
      </c>
      <c r="G47" s="24">
        <v>2010</v>
      </c>
      <c r="H47" s="31">
        <v>40381</v>
      </c>
      <c r="J47">
        <v>0.32000000000000028</v>
      </c>
      <c r="L47" s="3">
        <f t="shared" si="10"/>
        <v>30.179999999999993</v>
      </c>
      <c r="M47" s="3">
        <v>2010</v>
      </c>
      <c r="N47" s="31">
        <v>40381</v>
      </c>
      <c r="O47" s="4">
        <v>1.2800000000000011</v>
      </c>
      <c r="Q47" s="5">
        <f t="shared" si="11"/>
        <v>31.480000000000004</v>
      </c>
    </row>
    <row r="48" spans="1:21" x14ac:dyDescent="0.25">
      <c r="A48" s="3">
        <v>2011</v>
      </c>
      <c r="B48" s="1">
        <v>40737</v>
      </c>
      <c r="D48" s="12">
        <v>0.70000000000000284</v>
      </c>
      <c r="F48" s="5">
        <f t="shared" si="9"/>
        <v>24.010000000000012</v>
      </c>
      <c r="G48" s="24">
        <v>2011</v>
      </c>
      <c r="H48" s="1">
        <v>40737</v>
      </c>
      <c r="J48" s="9">
        <v>7.9999999999998295E-2</v>
      </c>
      <c r="L48" s="3">
        <f t="shared" si="10"/>
        <v>30.259999999999991</v>
      </c>
      <c r="M48" s="3">
        <v>2011</v>
      </c>
      <c r="N48" s="1">
        <v>40737</v>
      </c>
      <c r="O48" s="9">
        <v>1.9999999999996021E-2</v>
      </c>
      <c r="Q48" s="5">
        <f t="shared" si="11"/>
        <v>31.5</v>
      </c>
    </row>
    <row r="49" spans="1:17" x14ac:dyDescent="0.25">
      <c r="A49" s="3">
        <v>2012</v>
      </c>
      <c r="B49" s="1">
        <v>41177</v>
      </c>
      <c r="D49" s="12">
        <v>0.19999999999999574</v>
      </c>
      <c r="F49" s="5">
        <f t="shared" si="9"/>
        <v>24.210000000000008</v>
      </c>
      <c r="G49" s="24">
        <v>2012</v>
      </c>
      <c r="H49" s="1">
        <v>41177</v>
      </c>
      <c r="J49" s="9">
        <v>0</v>
      </c>
      <c r="L49" s="3">
        <f t="shared" si="10"/>
        <v>30.259999999999991</v>
      </c>
      <c r="M49" s="3">
        <v>2012</v>
      </c>
      <c r="N49" s="1">
        <v>41177</v>
      </c>
      <c r="O49" s="9">
        <v>0.67000000000000171</v>
      </c>
      <c r="Q49" s="5">
        <f t="shared" si="11"/>
        <v>32.17</v>
      </c>
    </row>
    <row r="50" spans="1:17" x14ac:dyDescent="0.25">
      <c r="A50" s="3">
        <v>2013</v>
      </c>
      <c r="B50" s="1">
        <v>41467</v>
      </c>
      <c r="D50" s="12">
        <v>0.57000000000000028</v>
      </c>
      <c r="F50" s="5">
        <f t="shared" si="9"/>
        <v>24.780000000000008</v>
      </c>
      <c r="G50" s="24">
        <v>2013</v>
      </c>
      <c r="H50" s="1">
        <v>41467</v>
      </c>
      <c r="J50" s="9">
        <v>0.88000000000000256</v>
      </c>
      <c r="L50" s="3">
        <f t="shared" si="10"/>
        <v>31.139999999999993</v>
      </c>
      <c r="M50" s="3">
        <v>2013</v>
      </c>
      <c r="N50" s="1">
        <v>41467</v>
      </c>
      <c r="O50" s="9">
        <v>3.0000000000001137E-2</v>
      </c>
      <c r="Q50" s="5">
        <f t="shared" si="11"/>
        <v>32.200000000000003</v>
      </c>
    </row>
    <row r="51" spans="1:17" x14ac:dyDescent="0.25">
      <c r="A51" s="3">
        <v>2014</v>
      </c>
      <c r="B51" s="1">
        <v>41829</v>
      </c>
      <c r="D51" s="12">
        <v>2.8800000000000026</v>
      </c>
      <c r="F51" s="5">
        <f t="shared" si="9"/>
        <v>27.660000000000011</v>
      </c>
      <c r="G51" s="24">
        <v>2014</v>
      </c>
      <c r="H51" s="1">
        <v>41829</v>
      </c>
      <c r="J51" s="9">
        <v>2.4799999999999969</v>
      </c>
      <c r="L51" s="3">
        <f t="shared" si="10"/>
        <v>33.61999999999999</v>
      </c>
      <c r="M51" s="3">
        <v>2014</v>
      </c>
      <c r="N51" s="1">
        <v>41829</v>
      </c>
      <c r="O51" s="9">
        <v>0.24000000000000199</v>
      </c>
      <c r="Q51" s="5">
        <f t="shared" si="11"/>
        <v>32.440000000000005</v>
      </c>
    </row>
    <row r="52" spans="1:17" x14ac:dyDescent="0.25">
      <c r="A52" s="3">
        <v>2015</v>
      </c>
      <c r="B52" s="1">
        <v>42199</v>
      </c>
      <c r="D52" s="12">
        <v>0.39999999999999858</v>
      </c>
      <c r="F52" s="5">
        <f t="shared" si="9"/>
        <v>28.060000000000009</v>
      </c>
      <c r="G52" s="24">
        <v>2015</v>
      </c>
      <c r="H52" s="1">
        <v>42199</v>
      </c>
      <c r="J52" s="9">
        <v>0.43999999999999773</v>
      </c>
      <c r="L52" s="3">
        <f t="shared" si="10"/>
        <v>34.059999999999988</v>
      </c>
      <c r="M52" s="3">
        <v>2015</v>
      </c>
      <c r="N52" s="1">
        <v>42199</v>
      </c>
      <c r="O52" s="9">
        <v>7.0000000000000284E-2</v>
      </c>
      <c r="Q52" s="5">
        <f t="shared" si="11"/>
        <v>32.510000000000005</v>
      </c>
    </row>
    <row r="53" spans="1:17" x14ac:dyDescent="0.25">
      <c r="A53" s="3">
        <v>2016</v>
      </c>
      <c r="B53" s="1">
        <v>42656</v>
      </c>
      <c r="D53" s="12">
        <v>0.32999999999999829</v>
      </c>
      <c r="F53" s="5">
        <f t="shared" si="9"/>
        <v>28.390000000000008</v>
      </c>
      <c r="G53" s="24">
        <v>2016</v>
      </c>
      <c r="H53" s="1">
        <v>42656</v>
      </c>
      <c r="J53" s="9">
        <v>0.79000000000000625</v>
      </c>
      <c r="L53" s="3">
        <f t="shared" si="10"/>
        <v>34.849999999999994</v>
      </c>
      <c r="M53" s="3">
        <v>2017</v>
      </c>
      <c r="N53" s="1">
        <v>42906</v>
      </c>
      <c r="O53" s="9">
        <v>0.14999999999999858</v>
      </c>
      <c r="Q53" s="5">
        <f t="shared" si="11"/>
        <v>32.660000000000004</v>
      </c>
    </row>
    <row r="54" spans="1:17" x14ac:dyDescent="0.25">
      <c r="A54" s="3">
        <v>2017</v>
      </c>
      <c r="B54" s="1">
        <v>42906</v>
      </c>
      <c r="D54">
        <v>1.56</v>
      </c>
      <c r="F54" s="5">
        <f t="shared" si="9"/>
        <v>29.950000000000006</v>
      </c>
      <c r="G54" s="24">
        <v>2017</v>
      </c>
      <c r="H54" s="1">
        <v>42906</v>
      </c>
      <c r="J54" s="9">
        <v>2.2199999999999989</v>
      </c>
      <c r="L54" s="3">
        <f t="shared" si="10"/>
        <v>37.069999999999993</v>
      </c>
      <c r="M54" s="3">
        <v>2019</v>
      </c>
      <c r="N54" s="1">
        <v>43746</v>
      </c>
      <c r="O54" s="9">
        <v>0.24000000000000199</v>
      </c>
      <c r="Q54" s="5">
        <f t="shared" si="11"/>
        <v>32.900000000000006</v>
      </c>
    </row>
    <row r="55" spans="1:17" x14ac:dyDescent="0.25">
      <c r="A55" s="3">
        <v>2019</v>
      </c>
      <c r="B55" s="1">
        <v>43746</v>
      </c>
      <c r="D55">
        <v>1.0899999999999963</v>
      </c>
      <c r="F55" s="5">
        <f t="shared" si="9"/>
        <v>31.040000000000003</v>
      </c>
      <c r="G55" s="24">
        <v>2019</v>
      </c>
      <c r="H55" s="1">
        <v>43746</v>
      </c>
      <c r="J55" s="9">
        <v>1.0300000000000011</v>
      </c>
      <c r="L55" s="3">
        <f t="shared" si="10"/>
        <v>38.099999999999994</v>
      </c>
      <c r="M55" s="3">
        <v>2022</v>
      </c>
      <c r="N55" s="1">
        <v>44777</v>
      </c>
      <c r="O55" s="9">
        <v>0.04</v>
      </c>
      <c r="Q55" s="5">
        <f t="shared" si="11"/>
        <v>32.940000000000005</v>
      </c>
    </row>
    <row r="56" spans="1:17" x14ac:dyDescent="0.25">
      <c r="A56" s="3">
        <v>2020</v>
      </c>
      <c r="B56" s="1">
        <v>44061</v>
      </c>
      <c r="D56">
        <v>1.0100000000000051</v>
      </c>
      <c r="F56" s="5">
        <f t="shared" si="9"/>
        <v>32.050000000000011</v>
      </c>
      <c r="G56" s="24">
        <v>2020</v>
      </c>
      <c r="H56" s="1">
        <v>44061</v>
      </c>
      <c r="J56" s="9">
        <v>1.259999999999998</v>
      </c>
      <c r="L56" s="3">
        <f t="shared" si="10"/>
        <v>39.359999999999992</v>
      </c>
      <c r="M56" s="3">
        <v>2023</v>
      </c>
      <c r="N56" s="1">
        <v>45153</v>
      </c>
      <c r="O56" s="9">
        <v>0.32</v>
      </c>
      <c r="Q56" s="5">
        <f t="shared" si="11"/>
        <v>33.260000000000005</v>
      </c>
    </row>
    <row r="57" spans="1:17" x14ac:dyDescent="0.25">
      <c r="A57" s="3">
        <v>2022</v>
      </c>
      <c r="B57" s="1">
        <v>44777</v>
      </c>
      <c r="D57">
        <v>1.69</v>
      </c>
      <c r="F57" s="5">
        <f t="shared" si="9"/>
        <v>33.740000000000009</v>
      </c>
      <c r="G57" s="24">
        <v>2022</v>
      </c>
      <c r="H57" s="1">
        <v>44777</v>
      </c>
      <c r="J57" s="9">
        <v>0.98</v>
      </c>
      <c r="L57" s="3">
        <f t="shared" si="10"/>
        <v>40.339999999999989</v>
      </c>
    </row>
    <row r="58" spans="1:17" x14ac:dyDescent="0.25">
      <c r="A58" s="3">
        <v>2023</v>
      </c>
      <c r="B58" s="1">
        <v>45153</v>
      </c>
      <c r="D58">
        <v>0.68</v>
      </c>
      <c r="F58" s="5">
        <f t="shared" si="9"/>
        <v>34.420000000000009</v>
      </c>
      <c r="G58" s="24">
        <v>2023</v>
      </c>
      <c r="H58" s="1">
        <v>45153</v>
      </c>
      <c r="J58" s="9">
        <v>1.02</v>
      </c>
      <c r="L58" s="3">
        <f t="shared" si="10"/>
        <v>41.359999999999992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topLeftCell="A13" workbookViewId="0">
      <selection activeCell="R34" sqref="R34"/>
    </sheetView>
  </sheetViews>
  <sheetFormatPr defaultRowHeight="15" x14ac:dyDescent="0.25"/>
  <cols>
    <col min="2" max="2" width="11.85546875" customWidth="1"/>
    <col min="3" max="3" width="9.140625" customWidth="1"/>
    <col min="5" max="5" width="10.85546875" customWidth="1"/>
    <col min="7" max="7" width="9.5703125" customWidth="1"/>
    <col min="8" max="8" width="11" customWidth="1"/>
    <col min="13" max="14" width="10" customWidth="1"/>
  </cols>
  <sheetData>
    <row r="1" spans="1:22" x14ac:dyDescent="0.25">
      <c r="B1" s="3" t="s">
        <v>8</v>
      </c>
    </row>
    <row r="2" spans="1:22" x14ac:dyDescent="0.25">
      <c r="C2" s="3" t="s">
        <v>2</v>
      </c>
      <c r="I2" s="3" t="s">
        <v>3</v>
      </c>
      <c r="N2" s="3" t="s">
        <v>1</v>
      </c>
      <c r="S2" s="8"/>
      <c r="T2" s="7"/>
      <c r="U2" s="7"/>
      <c r="V2" s="7"/>
    </row>
    <row r="3" spans="1:22" x14ac:dyDescent="0.25">
      <c r="C3" s="3"/>
      <c r="F3" t="s">
        <v>49</v>
      </c>
      <c r="I3" s="3"/>
      <c r="L3" t="s">
        <v>49</v>
      </c>
      <c r="N3" s="3"/>
      <c r="Q3" t="s">
        <v>49</v>
      </c>
      <c r="S3" s="8"/>
      <c r="T3" t="s">
        <v>47</v>
      </c>
      <c r="U3" t="s">
        <v>48</v>
      </c>
    </row>
    <row r="4" spans="1:22" x14ac:dyDescent="0.25">
      <c r="A4">
        <v>1987</v>
      </c>
      <c r="B4" s="31">
        <v>31959</v>
      </c>
      <c r="C4" s="29"/>
      <c r="D4" s="9"/>
      <c r="E4" s="7"/>
      <c r="F4" s="10"/>
      <c r="G4" s="10"/>
      <c r="H4" s="7"/>
      <c r="I4" s="3"/>
      <c r="N4" s="3"/>
      <c r="S4" s="8"/>
      <c r="T4" s="109">
        <v>1986</v>
      </c>
      <c r="U4" s="4">
        <v>14.350000000000001</v>
      </c>
      <c r="V4" s="4">
        <v>15.34</v>
      </c>
    </row>
    <row r="5" spans="1:22" x14ac:dyDescent="0.25">
      <c r="A5">
        <v>1990</v>
      </c>
      <c r="B5" s="31">
        <v>33012</v>
      </c>
      <c r="C5" s="29">
        <v>1053</v>
      </c>
      <c r="D5" s="9">
        <v>4.8299999999999983</v>
      </c>
      <c r="E5" s="7">
        <v>365</v>
      </c>
      <c r="F5" s="6">
        <f>E5*D5/C5</f>
        <v>1.6742165242165237</v>
      </c>
      <c r="H5" s="8">
        <v>1990</v>
      </c>
      <c r="I5" s="23">
        <v>1053</v>
      </c>
      <c r="J5" s="4">
        <v>6.2900000000000063</v>
      </c>
      <c r="K5" s="7">
        <v>365</v>
      </c>
      <c r="L5" s="6">
        <f t="shared" ref="L5:L17" si="0">K5*J5/I5</f>
        <v>2.1802943969610658</v>
      </c>
      <c r="M5" s="8">
        <v>1990</v>
      </c>
      <c r="N5" s="29">
        <v>1053</v>
      </c>
      <c r="O5">
        <v>0.5</v>
      </c>
      <c r="P5" s="7">
        <v>365</v>
      </c>
      <c r="Q5" s="10">
        <f t="shared" ref="Q5:Q11" si="1">P5*O5/N5</f>
        <v>0.17331433998100665</v>
      </c>
      <c r="S5" s="8"/>
      <c r="T5" s="109">
        <v>1987</v>
      </c>
      <c r="U5" s="4">
        <v>14.45</v>
      </c>
      <c r="V5" s="4">
        <v>15.379999999999999</v>
      </c>
    </row>
    <row r="6" spans="1:22" x14ac:dyDescent="0.25">
      <c r="A6">
        <v>1993</v>
      </c>
      <c r="B6" s="31">
        <v>34114</v>
      </c>
      <c r="C6" s="29">
        <v>1102</v>
      </c>
      <c r="D6" s="9">
        <v>10.939999999999998</v>
      </c>
      <c r="E6" s="7">
        <v>365</v>
      </c>
      <c r="F6" s="6">
        <f t="shared" ref="F6:F17" si="2">E6*D6/C6</f>
        <v>3.6235027223230483</v>
      </c>
      <c r="H6" s="8">
        <v>1993</v>
      </c>
      <c r="I6" s="23">
        <v>1102</v>
      </c>
      <c r="J6" s="4">
        <v>9.3699999999999974</v>
      </c>
      <c r="K6" s="7">
        <v>365</v>
      </c>
      <c r="L6" s="6">
        <f t="shared" si="0"/>
        <v>3.103493647912885</v>
      </c>
      <c r="M6" s="8">
        <v>1993</v>
      </c>
      <c r="N6" s="51">
        <v>1102</v>
      </c>
      <c r="O6" s="18">
        <v>6.64</v>
      </c>
      <c r="P6" s="18">
        <v>365</v>
      </c>
      <c r="Q6" s="17">
        <f t="shared" si="1"/>
        <v>2.199274047186933</v>
      </c>
      <c r="S6" s="8"/>
      <c r="T6" s="109">
        <v>1988</v>
      </c>
      <c r="U6" s="4">
        <v>14.605</v>
      </c>
      <c r="V6" s="4">
        <v>15.59</v>
      </c>
    </row>
    <row r="7" spans="1:22" x14ac:dyDescent="0.25">
      <c r="A7">
        <v>1995</v>
      </c>
      <c r="B7" s="31">
        <v>34897</v>
      </c>
      <c r="C7" s="29">
        <v>783</v>
      </c>
      <c r="D7" s="9">
        <v>3.0499999999999972</v>
      </c>
      <c r="E7" s="7">
        <v>365</v>
      </c>
      <c r="F7" s="6">
        <f t="shared" si="2"/>
        <v>1.4217752234993599</v>
      </c>
      <c r="H7" s="8">
        <v>1995</v>
      </c>
      <c r="I7" s="23">
        <v>783</v>
      </c>
      <c r="J7" s="4">
        <v>1.5000000000000071</v>
      </c>
      <c r="K7" s="7">
        <v>365</v>
      </c>
      <c r="L7" s="10">
        <f t="shared" si="0"/>
        <v>0.69923371647509913</v>
      </c>
      <c r="M7" s="8">
        <v>1995</v>
      </c>
      <c r="N7" s="29"/>
      <c r="P7" s="7"/>
      <c r="Q7" s="10"/>
      <c r="S7" s="8"/>
      <c r="T7" s="109">
        <v>1989</v>
      </c>
      <c r="U7" s="4">
        <v>14.335000000000001</v>
      </c>
      <c r="V7" s="4">
        <v>15.23</v>
      </c>
    </row>
    <row r="8" spans="1:22" x14ac:dyDescent="0.25">
      <c r="A8">
        <v>1997</v>
      </c>
      <c r="B8" s="31">
        <v>35656</v>
      </c>
      <c r="C8" s="29">
        <v>759</v>
      </c>
      <c r="D8" s="9">
        <v>4.0399999999999991</v>
      </c>
      <c r="E8" s="7">
        <v>365</v>
      </c>
      <c r="F8" s="6">
        <f t="shared" si="2"/>
        <v>1.942819499341238</v>
      </c>
      <c r="H8" s="8">
        <v>1997</v>
      </c>
      <c r="I8" s="23">
        <v>759</v>
      </c>
      <c r="J8" s="4">
        <v>5.539999999999992</v>
      </c>
      <c r="K8" s="7">
        <v>365</v>
      </c>
      <c r="L8" s="6">
        <f t="shared" si="0"/>
        <v>2.6641633728590213</v>
      </c>
      <c r="M8" s="8">
        <v>1997</v>
      </c>
      <c r="N8" s="29">
        <f>B8-B6</f>
        <v>1542</v>
      </c>
      <c r="O8">
        <v>0.06</v>
      </c>
      <c r="P8" s="7">
        <v>365</v>
      </c>
      <c r="Q8" s="10">
        <f t="shared" si="1"/>
        <v>1.4202334630350194E-2</v>
      </c>
      <c r="S8" s="8"/>
      <c r="T8" s="109">
        <v>1990</v>
      </c>
      <c r="U8" s="4">
        <v>14.795</v>
      </c>
      <c r="V8" s="4">
        <v>15.31</v>
      </c>
    </row>
    <row r="9" spans="1:22" x14ac:dyDescent="0.25">
      <c r="A9">
        <v>1999</v>
      </c>
      <c r="B9" s="31">
        <v>36350</v>
      </c>
      <c r="C9" s="29">
        <v>694</v>
      </c>
      <c r="D9" s="9">
        <v>2.6700000000000017</v>
      </c>
      <c r="E9" s="7">
        <v>365</v>
      </c>
      <c r="F9" s="6">
        <f t="shared" si="2"/>
        <v>1.4042507204610961</v>
      </c>
      <c r="H9" s="8">
        <v>1999</v>
      </c>
      <c r="I9" s="23">
        <v>694</v>
      </c>
      <c r="J9" s="4">
        <v>2.5100000000000051</v>
      </c>
      <c r="K9" s="7">
        <v>365</v>
      </c>
      <c r="L9" s="6">
        <f t="shared" si="0"/>
        <v>1.3201008645533168</v>
      </c>
      <c r="M9" s="8">
        <v>1999</v>
      </c>
      <c r="N9" s="29">
        <v>694</v>
      </c>
      <c r="O9" s="4">
        <v>0.4</v>
      </c>
      <c r="P9" s="7">
        <v>365</v>
      </c>
      <c r="Q9" s="10">
        <f t="shared" si="1"/>
        <v>0.21037463976945245</v>
      </c>
      <c r="S9" s="8"/>
      <c r="T9" s="109">
        <v>1991</v>
      </c>
      <c r="U9" s="4">
        <v>14.719999999999999</v>
      </c>
      <c r="V9" s="4">
        <v>16.04</v>
      </c>
    </row>
    <row r="10" spans="1:22" x14ac:dyDescent="0.25">
      <c r="A10">
        <v>2000</v>
      </c>
      <c r="B10" s="31">
        <v>36713</v>
      </c>
      <c r="C10" s="29">
        <v>363</v>
      </c>
      <c r="D10" s="9">
        <v>5.259999999999998</v>
      </c>
      <c r="E10" s="7">
        <v>366</v>
      </c>
      <c r="F10" s="6">
        <f t="shared" si="2"/>
        <v>5.3034710743801634</v>
      </c>
      <c r="H10" s="8">
        <v>2000</v>
      </c>
      <c r="I10" s="23">
        <v>363</v>
      </c>
      <c r="J10" s="4">
        <v>5.2099999999999937</v>
      </c>
      <c r="K10" s="7">
        <v>366</v>
      </c>
      <c r="L10" s="6">
        <f t="shared" si="0"/>
        <v>5.2530578512396628</v>
      </c>
      <c r="M10" s="8">
        <v>2000</v>
      </c>
      <c r="N10" s="51">
        <v>363</v>
      </c>
      <c r="O10" s="18">
        <v>2.79</v>
      </c>
      <c r="P10" s="18">
        <v>366</v>
      </c>
      <c r="Q10" s="17">
        <f t="shared" si="1"/>
        <v>2.8130578512396696</v>
      </c>
      <c r="S10" s="8"/>
      <c r="T10" s="109">
        <v>1992</v>
      </c>
      <c r="U10" s="4">
        <v>14.719999999999999</v>
      </c>
      <c r="V10" s="4">
        <v>15.21</v>
      </c>
    </row>
    <row r="11" spans="1:22" x14ac:dyDescent="0.25">
      <c r="A11">
        <v>2001</v>
      </c>
      <c r="B11" s="31">
        <v>37078</v>
      </c>
      <c r="C11" s="29">
        <v>365</v>
      </c>
      <c r="D11" s="9">
        <v>3.0399999999999991</v>
      </c>
      <c r="E11" s="7">
        <v>365</v>
      </c>
      <c r="F11" s="6">
        <f t="shared" si="2"/>
        <v>3.0399999999999991</v>
      </c>
      <c r="H11" s="8">
        <v>2001</v>
      </c>
      <c r="I11" s="23"/>
      <c r="J11" s="4"/>
      <c r="K11" s="7"/>
      <c r="L11" s="10"/>
      <c r="M11" s="8">
        <v>2001</v>
      </c>
      <c r="N11" s="29">
        <v>365</v>
      </c>
      <c r="O11">
        <v>0.63</v>
      </c>
      <c r="P11" s="7">
        <v>365</v>
      </c>
      <c r="Q11" s="10">
        <f t="shared" si="1"/>
        <v>0.63</v>
      </c>
      <c r="S11" s="8"/>
      <c r="T11" s="109">
        <v>1993</v>
      </c>
      <c r="U11" s="4">
        <v>14.635000000000002</v>
      </c>
      <c r="V11" s="4">
        <v>15.219999999999999</v>
      </c>
    </row>
    <row r="12" spans="1:22" x14ac:dyDescent="0.25">
      <c r="A12">
        <v>2003</v>
      </c>
      <c r="B12" s="31">
        <v>37818</v>
      </c>
      <c r="C12" s="29">
        <v>740</v>
      </c>
      <c r="D12" s="9">
        <v>2.879999999999999</v>
      </c>
      <c r="E12" s="7">
        <v>365</v>
      </c>
      <c r="F12" s="6">
        <f t="shared" si="2"/>
        <v>1.42054054054054</v>
      </c>
      <c r="H12" s="8">
        <v>2003</v>
      </c>
      <c r="I12" s="23">
        <v>1105</v>
      </c>
      <c r="J12" s="4">
        <v>5.7800000000000047</v>
      </c>
      <c r="K12" s="7">
        <v>365</v>
      </c>
      <c r="L12" s="6">
        <f t="shared" si="0"/>
        <v>1.9092307692307706</v>
      </c>
      <c r="M12" s="8">
        <v>2003</v>
      </c>
      <c r="N12" s="29">
        <v>740</v>
      </c>
      <c r="O12">
        <v>0.01</v>
      </c>
      <c r="P12" s="7">
        <v>365</v>
      </c>
      <c r="Q12" s="10">
        <f t="shared" ref="Q12:Q13" si="3">P12*O12/N12</f>
        <v>4.9324324324324324E-3</v>
      </c>
      <c r="S12" s="8"/>
      <c r="T12" s="109">
        <v>1994</v>
      </c>
      <c r="U12" s="4">
        <v>14.655000000000001</v>
      </c>
      <c r="V12" s="4">
        <v>15.34</v>
      </c>
    </row>
    <row r="13" spans="1:22" x14ac:dyDescent="0.25">
      <c r="A13">
        <v>2004</v>
      </c>
      <c r="B13" s="31">
        <v>38187</v>
      </c>
      <c r="C13" s="29">
        <v>369</v>
      </c>
      <c r="D13" s="9">
        <v>1.3500000000000014</v>
      </c>
      <c r="E13" s="7">
        <v>365</v>
      </c>
      <c r="F13" s="6">
        <f t="shared" si="2"/>
        <v>1.335365853658538</v>
      </c>
      <c r="H13" s="8">
        <v>2004</v>
      </c>
      <c r="I13" s="23">
        <v>369</v>
      </c>
      <c r="J13" s="4">
        <v>2.25</v>
      </c>
      <c r="K13" s="7">
        <v>365</v>
      </c>
      <c r="L13" s="6">
        <f t="shared" si="0"/>
        <v>2.225609756097561</v>
      </c>
      <c r="M13" s="8">
        <v>2004</v>
      </c>
      <c r="N13" s="29">
        <v>369</v>
      </c>
      <c r="O13" s="4">
        <v>0</v>
      </c>
      <c r="P13" s="7">
        <v>365</v>
      </c>
      <c r="Q13" s="10">
        <f t="shared" si="3"/>
        <v>0</v>
      </c>
      <c r="S13" s="8"/>
      <c r="T13" s="109">
        <v>1995</v>
      </c>
      <c r="U13" s="4">
        <v>14.75</v>
      </c>
      <c r="V13" s="4">
        <v>15.58</v>
      </c>
    </row>
    <row r="14" spans="1:22" x14ac:dyDescent="0.25">
      <c r="A14">
        <v>2006</v>
      </c>
      <c r="B14" s="31">
        <v>38917</v>
      </c>
      <c r="C14" s="29"/>
      <c r="D14" s="9"/>
      <c r="E14" s="7"/>
      <c r="F14" s="10"/>
      <c r="H14" s="8"/>
      <c r="I14" s="23"/>
      <c r="J14" s="4"/>
      <c r="K14" s="7"/>
      <c r="L14" s="10"/>
      <c r="M14" s="8">
        <v>2006</v>
      </c>
      <c r="N14" s="29">
        <f>B14-B13</f>
        <v>730</v>
      </c>
      <c r="O14">
        <v>-0.01</v>
      </c>
      <c r="P14" s="7">
        <v>365</v>
      </c>
      <c r="Q14" s="10">
        <v>0</v>
      </c>
      <c r="S14" s="8"/>
      <c r="T14" s="109">
        <v>1996</v>
      </c>
      <c r="U14" s="4">
        <v>14.524999999999999</v>
      </c>
      <c r="V14" s="4">
        <v>15.280000000000001</v>
      </c>
    </row>
    <row r="15" spans="1:22" x14ac:dyDescent="0.25">
      <c r="A15">
        <v>2006</v>
      </c>
      <c r="B15" s="31">
        <v>38986</v>
      </c>
      <c r="C15" s="29">
        <v>799</v>
      </c>
      <c r="D15" s="9">
        <v>3.2899999999999991</v>
      </c>
      <c r="E15" s="7">
        <v>365</v>
      </c>
      <c r="F15" s="6">
        <f t="shared" si="2"/>
        <v>1.5029411764705878</v>
      </c>
      <c r="H15" s="8">
        <v>2006</v>
      </c>
      <c r="I15" s="23">
        <v>799</v>
      </c>
      <c r="J15" s="4">
        <v>4.3499999999999979</v>
      </c>
      <c r="K15" s="7">
        <v>365</v>
      </c>
      <c r="L15" s="6">
        <f t="shared" si="0"/>
        <v>1.9871714643304121</v>
      </c>
      <c r="M15" s="8">
        <v>2006</v>
      </c>
      <c r="N15" s="29">
        <f>B15-B14</f>
        <v>69</v>
      </c>
      <c r="O15">
        <v>0.01</v>
      </c>
      <c r="P15" s="7">
        <v>365</v>
      </c>
      <c r="Q15" s="10">
        <f t="shared" ref="Q15:Q16" si="4">P15*O15/N15</f>
        <v>5.2898550724637679E-2</v>
      </c>
      <c r="S15" s="8"/>
      <c r="T15" s="109">
        <v>1997</v>
      </c>
      <c r="U15" s="4">
        <v>14.685</v>
      </c>
      <c r="V15" s="4">
        <v>15.5</v>
      </c>
    </row>
    <row r="16" spans="1:22" x14ac:dyDescent="0.25">
      <c r="A16">
        <v>2008</v>
      </c>
      <c r="B16" s="31">
        <v>39774</v>
      </c>
      <c r="C16" s="29">
        <v>788</v>
      </c>
      <c r="D16" s="9">
        <v>0.61000000000000298</v>
      </c>
      <c r="E16" s="7">
        <v>366</v>
      </c>
      <c r="F16" s="10">
        <f t="shared" si="2"/>
        <v>0.2833248730964481</v>
      </c>
      <c r="H16" s="8">
        <v>2008</v>
      </c>
      <c r="I16" s="23"/>
      <c r="J16" s="4"/>
      <c r="K16" s="7"/>
      <c r="L16" s="10"/>
      <c r="M16" s="8">
        <v>2008</v>
      </c>
      <c r="N16" s="29">
        <v>788</v>
      </c>
      <c r="O16" s="4">
        <v>0.3</v>
      </c>
      <c r="P16" s="7">
        <v>365</v>
      </c>
      <c r="Q16" s="10">
        <f t="shared" si="4"/>
        <v>0.13895939086294415</v>
      </c>
      <c r="S16" s="8"/>
      <c r="T16" s="109">
        <v>1998</v>
      </c>
      <c r="U16" s="4">
        <v>14.68</v>
      </c>
      <c r="V16" s="4">
        <v>15.39</v>
      </c>
    </row>
    <row r="17" spans="1:22" x14ac:dyDescent="0.25">
      <c r="A17">
        <v>2009</v>
      </c>
      <c r="B17" s="31">
        <v>40009</v>
      </c>
      <c r="C17" s="23">
        <v>235</v>
      </c>
      <c r="D17" s="4">
        <v>0.27999999999999758</v>
      </c>
      <c r="E17" s="7">
        <v>365</v>
      </c>
      <c r="F17" s="10">
        <f t="shared" si="2"/>
        <v>0.43489361702127288</v>
      </c>
      <c r="H17" s="8">
        <v>2009</v>
      </c>
      <c r="I17" s="23">
        <v>1023</v>
      </c>
      <c r="J17" s="4">
        <v>0.19000000000000128</v>
      </c>
      <c r="K17" s="7">
        <v>365</v>
      </c>
      <c r="L17" s="10">
        <f t="shared" si="0"/>
        <v>6.7790811339198884E-2</v>
      </c>
      <c r="M17" s="8">
        <v>2009</v>
      </c>
      <c r="N17" s="23">
        <v>235</v>
      </c>
      <c r="O17" s="4">
        <v>0</v>
      </c>
      <c r="P17" s="7">
        <v>365</v>
      </c>
      <c r="Q17" s="10">
        <f t="shared" ref="Q17" si="5">P17*O17/N17</f>
        <v>0</v>
      </c>
      <c r="S17" s="8"/>
      <c r="T17" s="109">
        <v>1999</v>
      </c>
      <c r="U17" s="4">
        <v>14.654999999999999</v>
      </c>
      <c r="V17" s="4">
        <v>15.25</v>
      </c>
    </row>
    <row r="18" spans="1:22" x14ac:dyDescent="0.25">
      <c r="A18">
        <v>2010</v>
      </c>
      <c r="B18" s="31">
        <v>40379</v>
      </c>
      <c r="C18" s="20"/>
      <c r="D18" s="4"/>
      <c r="F18" s="10"/>
      <c r="I18" s="5"/>
      <c r="J18" s="4"/>
      <c r="N18" s="3"/>
      <c r="S18" s="8"/>
      <c r="T18" s="109">
        <v>2000</v>
      </c>
      <c r="U18" s="4">
        <v>14.75</v>
      </c>
      <c r="V18" s="4">
        <v>15.31</v>
      </c>
    </row>
    <row r="19" spans="1:22" x14ac:dyDescent="0.25">
      <c r="A19">
        <v>2011</v>
      </c>
      <c r="B19" s="13">
        <v>40737</v>
      </c>
      <c r="C19" s="26">
        <v>358</v>
      </c>
      <c r="D19" s="14">
        <v>0.12999999999999901</v>
      </c>
      <c r="E19" s="21">
        <v>365</v>
      </c>
      <c r="F19" s="10">
        <f>E19*D19/C19</f>
        <v>0.13254189944133976</v>
      </c>
      <c r="G19" s="10"/>
      <c r="H19" s="8">
        <v>2011</v>
      </c>
      <c r="I19" s="7">
        <v>358</v>
      </c>
      <c r="J19" s="7">
        <v>0.53000000000000114</v>
      </c>
      <c r="K19" s="28">
        <v>365</v>
      </c>
      <c r="L19" s="10">
        <f t="shared" ref="L19" si="6">K19*J19/I19</f>
        <v>0.54036312849162127</v>
      </c>
      <c r="M19" s="8">
        <v>2011</v>
      </c>
      <c r="N19" s="9"/>
      <c r="O19" s="9"/>
      <c r="P19" s="28"/>
      <c r="Q19" s="10"/>
      <c r="R19" s="3"/>
      <c r="S19" s="9"/>
      <c r="T19" s="109">
        <v>2001</v>
      </c>
      <c r="U19" s="4">
        <v>14.895</v>
      </c>
      <c r="V19" s="4">
        <v>15.600000000000001</v>
      </c>
    </row>
    <row r="20" spans="1:22" x14ac:dyDescent="0.25">
      <c r="A20">
        <v>2012</v>
      </c>
      <c r="B20" s="13">
        <v>41199</v>
      </c>
      <c r="C20" s="26">
        <v>462</v>
      </c>
      <c r="D20" s="14">
        <v>8.0000000000001847E-2</v>
      </c>
      <c r="E20" s="21">
        <v>366</v>
      </c>
      <c r="F20" s="10">
        <f>E20*D20/C20</f>
        <v>6.3376623376624835E-2</v>
      </c>
      <c r="G20" s="10"/>
      <c r="H20" s="8">
        <v>2012</v>
      </c>
      <c r="I20" s="7">
        <v>462</v>
      </c>
      <c r="J20" s="7">
        <v>0.21999999999999886</v>
      </c>
      <c r="K20" s="28">
        <v>366</v>
      </c>
      <c r="L20" s="10">
        <f>K20*J20/I20</f>
        <v>0.17428571428571338</v>
      </c>
      <c r="M20" s="8">
        <v>2012</v>
      </c>
      <c r="N20" s="9"/>
      <c r="O20" s="9"/>
      <c r="P20" s="28"/>
      <c r="Q20" s="10"/>
      <c r="R20" s="3"/>
      <c r="S20" s="9"/>
      <c r="T20" s="109">
        <v>2002</v>
      </c>
      <c r="U20" s="4">
        <v>14.825000000000001</v>
      </c>
      <c r="V20" s="4">
        <v>15.3</v>
      </c>
    </row>
    <row r="21" spans="1:22" x14ac:dyDescent="0.25">
      <c r="A21">
        <v>2013</v>
      </c>
      <c r="B21" s="13">
        <v>41459</v>
      </c>
      <c r="C21" s="26">
        <v>260</v>
      </c>
      <c r="D21" s="14">
        <v>0.14999999999999858</v>
      </c>
      <c r="E21" s="21">
        <v>365</v>
      </c>
      <c r="F21" s="10">
        <f t="shared" ref="F21:F28" si="7">E21*D21/C21</f>
        <v>0.21057692307692108</v>
      </c>
      <c r="G21" s="10"/>
      <c r="H21" s="8">
        <v>2013</v>
      </c>
      <c r="I21" s="7">
        <v>260</v>
      </c>
      <c r="J21" s="7">
        <v>0.17999999999999972</v>
      </c>
      <c r="K21" s="28">
        <v>365</v>
      </c>
      <c r="L21" s="10">
        <f t="shared" ref="L21:L28" si="8">K21*J21/I21</f>
        <v>0.25269230769230733</v>
      </c>
      <c r="M21" s="8">
        <v>2013</v>
      </c>
      <c r="N21" s="9">
        <f>B21-B17</f>
        <v>1450</v>
      </c>
      <c r="O21" s="9">
        <v>0.03</v>
      </c>
      <c r="P21" s="28">
        <v>366</v>
      </c>
      <c r="Q21" s="10">
        <f t="shared" ref="Q21:Q25" si="9">P21*O21/N21</f>
        <v>7.5724137931034484E-3</v>
      </c>
      <c r="R21" s="3"/>
      <c r="S21" s="9"/>
      <c r="T21" s="109">
        <v>2003</v>
      </c>
      <c r="U21" s="4">
        <v>14.89</v>
      </c>
      <c r="V21" s="4">
        <v>15.370000000000001</v>
      </c>
    </row>
    <row r="22" spans="1:22" x14ac:dyDescent="0.25">
      <c r="A22">
        <v>2014</v>
      </c>
      <c r="B22" s="13">
        <v>41828</v>
      </c>
      <c r="C22" s="26"/>
      <c r="D22" s="14"/>
      <c r="E22" s="21"/>
      <c r="F22" s="10"/>
      <c r="G22" s="10"/>
      <c r="H22" s="8">
        <v>2014</v>
      </c>
      <c r="I22" s="7">
        <v>369</v>
      </c>
      <c r="J22" s="7">
        <v>3.0000000000001137E-2</v>
      </c>
      <c r="K22" s="28">
        <v>365</v>
      </c>
      <c r="L22" s="10">
        <f t="shared" si="8"/>
        <v>2.9674796747968604E-2</v>
      </c>
      <c r="M22" s="8">
        <v>2014</v>
      </c>
      <c r="N22" s="16">
        <v>369</v>
      </c>
      <c r="O22" s="16">
        <v>-0.49</v>
      </c>
      <c r="P22" s="34">
        <v>365</v>
      </c>
      <c r="Q22" s="17"/>
      <c r="R22" s="3"/>
      <c r="S22" s="9"/>
      <c r="T22" s="109">
        <v>2004</v>
      </c>
      <c r="U22" s="4">
        <v>14.805</v>
      </c>
      <c r="V22" s="4">
        <v>15.32</v>
      </c>
    </row>
    <row r="23" spans="1:22" x14ac:dyDescent="0.25">
      <c r="A23">
        <v>2015</v>
      </c>
      <c r="B23" s="13">
        <v>42198</v>
      </c>
      <c r="C23" s="26">
        <v>739</v>
      </c>
      <c r="D23" s="14">
        <v>-9.9999999999980105E-3</v>
      </c>
      <c r="E23" s="21">
        <v>365</v>
      </c>
      <c r="F23" s="10">
        <f t="shared" si="7"/>
        <v>-4.9391069012168793E-3</v>
      </c>
      <c r="G23" s="10"/>
      <c r="H23" s="8">
        <v>2015</v>
      </c>
      <c r="I23" s="7">
        <v>370</v>
      </c>
      <c r="J23" s="7">
        <v>3.9999999999999147E-2</v>
      </c>
      <c r="K23" s="28">
        <v>365</v>
      </c>
      <c r="L23" s="10">
        <f t="shared" si="8"/>
        <v>3.9459459459458619E-2</v>
      </c>
      <c r="M23" s="8">
        <v>2015</v>
      </c>
      <c r="N23" s="9">
        <v>370</v>
      </c>
      <c r="O23" s="9">
        <v>7.0000000000000007E-2</v>
      </c>
      <c r="P23" s="28">
        <v>365</v>
      </c>
      <c r="Q23" s="10">
        <f t="shared" si="9"/>
        <v>6.9054054054054056E-2</v>
      </c>
      <c r="R23" s="3"/>
      <c r="S23" s="9"/>
      <c r="T23" s="109">
        <v>2005</v>
      </c>
      <c r="U23" s="4">
        <v>14.93</v>
      </c>
      <c r="V23" s="4">
        <v>15.77</v>
      </c>
    </row>
    <row r="24" spans="1:22" x14ac:dyDescent="0.25">
      <c r="A24">
        <v>2016</v>
      </c>
      <c r="B24" s="13">
        <v>42628</v>
      </c>
      <c r="C24" s="26">
        <v>430</v>
      </c>
      <c r="D24" s="14">
        <v>-1.9999999999999574E-2</v>
      </c>
      <c r="E24" s="21">
        <v>366</v>
      </c>
      <c r="F24" s="10">
        <v>0</v>
      </c>
      <c r="G24" s="10"/>
      <c r="H24" s="8">
        <v>2016</v>
      </c>
      <c r="I24" s="7">
        <v>430</v>
      </c>
      <c r="J24" s="7">
        <v>0.19999999999999929</v>
      </c>
      <c r="K24" s="28">
        <v>366</v>
      </c>
      <c r="L24" s="10">
        <f t="shared" si="8"/>
        <v>0.17023255813953425</v>
      </c>
      <c r="M24" s="8">
        <v>2016</v>
      </c>
      <c r="N24" s="9"/>
      <c r="O24" s="9"/>
      <c r="P24" s="28"/>
      <c r="Q24" s="10"/>
      <c r="R24" s="3"/>
      <c r="S24" s="9"/>
      <c r="T24" s="109">
        <v>2006</v>
      </c>
      <c r="U24" s="4">
        <v>14.81</v>
      </c>
      <c r="V24" s="4">
        <v>15.5</v>
      </c>
    </row>
    <row r="25" spans="1:22" x14ac:dyDescent="0.25">
      <c r="A25">
        <v>2019</v>
      </c>
      <c r="B25" s="13">
        <v>43748</v>
      </c>
      <c r="C25" s="33">
        <v>1120</v>
      </c>
      <c r="D25" s="4">
        <v>-5.0000000000000711E-2</v>
      </c>
      <c r="E25" s="21">
        <v>365</v>
      </c>
      <c r="F25" s="10">
        <v>0</v>
      </c>
      <c r="G25" s="10"/>
      <c r="H25" s="8">
        <v>2019</v>
      </c>
      <c r="I25" s="7"/>
      <c r="J25" s="7"/>
      <c r="K25" s="9"/>
      <c r="L25" s="10"/>
      <c r="M25" s="8">
        <v>2019</v>
      </c>
      <c r="N25" s="9">
        <f>B25-B23</f>
        <v>1550</v>
      </c>
      <c r="O25" s="9">
        <v>-0.02</v>
      </c>
      <c r="P25" s="28">
        <v>366</v>
      </c>
      <c r="Q25" s="10">
        <f t="shared" si="9"/>
        <v>-4.7225806451612904E-3</v>
      </c>
      <c r="S25" s="7"/>
      <c r="T25" s="109">
        <v>2007</v>
      </c>
      <c r="U25" s="4">
        <v>14.79</v>
      </c>
      <c r="V25" s="4">
        <v>15.41</v>
      </c>
    </row>
    <row r="26" spans="1:22" x14ac:dyDescent="0.25">
      <c r="A26">
        <v>2020</v>
      </c>
      <c r="B26" s="13">
        <v>44060</v>
      </c>
      <c r="C26" s="33">
        <v>312</v>
      </c>
      <c r="D26" s="4">
        <v>7.0000000000000284E-2</v>
      </c>
      <c r="E26" s="21">
        <v>366</v>
      </c>
      <c r="F26" s="10">
        <f t="shared" si="7"/>
        <v>8.2115384615384951E-2</v>
      </c>
      <c r="G26" s="10"/>
      <c r="H26" s="8">
        <v>2020</v>
      </c>
      <c r="I26" s="7">
        <v>312</v>
      </c>
      <c r="J26" s="7">
        <v>0.12999999999999901</v>
      </c>
      <c r="K26" s="28">
        <v>366</v>
      </c>
      <c r="L26" s="10">
        <f t="shared" si="8"/>
        <v>0.15249999999999883</v>
      </c>
      <c r="M26" s="8">
        <v>2020</v>
      </c>
      <c r="N26" s="9"/>
      <c r="O26" s="9"/>
      <c r="P26" s="28"/>
      <c r="Q26" s="10"/>
      <c r="T26" s="109">
        <v>2008</v>
      </c>
      <c r="U26" s="4">
        <v>14.73</v>
      </c>
      <c r="V26" s="4">
        <v>15.690000000000001</v>
      </c>
    </row>
    <row r="27" spans="1:22" x14ac:dyDescent="0.25">
      <c r="A27">
        <v>2022</v>
      </c>
      <c r="B27" s="1">
        <v>44777</v>
      </c>
      <c r="C27" s="33"/>
      <c r="D27" s="4"/>
      <c r="E27" s="21"/>
      <c r="F27" s="10"/>
      <c r="G27" s="10"/>
      <c r="H27" s="8">
        <v>2022</v>
      </c>
      <c r="I27" s="33">
        <v>717</v>
      </c>
      <c r="J27" s="7">
        <v>-0.03</v>
      </c>
      <c r="K27" s="21">
        <v>365</v>
      </c>
      <c r="L27" s="10">
        <v>0</v>
      </c>
      <c r="M27" s="8">
        <v>2022</v>
      </c>
      <c r="N27" s="9"/>
      <c r="O27" s="9"/>
      <c r="P27" s="21"/>
      <c r="Q27" s="10"/>
      <c r="T27" s="109">
        <v>2009</v>
      </c>
      <c r="U27" s="4">
        <v>14.705</v>
      </c>
      <c r="V27" s="4">
        <v>15.45</v>
      </c>
    </row>
    <row r="28" spans="1:22" x14ac:dyDescent="0.25">
      <c r="A28">
        <v>2023</v>
      </c>
      <c r="B28" s="1">
        <v>45152</v>
      </c>
      <c r="C28" s="33">
        <f>B28-B26</f>
        <v>1092</v>
      </c>
      <c r="D28" s="4">
        <v>0.18</v>
      </c>
      <c r="E28" s="21">
        <v>365</v>
      </c>
      <c r="F28" s="10">
        <f t="shared" si="7"/>
        <v>6.0164835164835166E-2</v>
      </c>
      <c r="G28" s="10"/>
      <c r="H28" s="8">
        <v>2023</v>
      </c>
      <c r="I28" s="33">
        <v>375</v>
      </c>
      <c r="J28" s="7">
        <v>0.24</v>
      </c>
      <c r="K28" s="21">
        <v>365</v>
      </c>
      <c r="L28" s="10">
        <f t="shared" si="8"/>
        <v>0.23359999999999997</v>
      </c>
      <c r="M28" s="8">
        <v>2023</v>
      </c>
      <c r="N28" s="9"/>
      <c r="O28" s="9"/>
      <c r="P28" s="21"/>
      <c r="Q28" s="10"/>
      <c r="T28" s="109">
        <v>2010</v>
      </c>
      <c r="U28" s="4">
        <v>14.365</v>
      </c>
      <c r="V28" s="4">
        <v>15.600000000000001</v>
      </c>
    </row>
    <row r="29" spans="1:22" x14ac:dyDescent="0.25"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T29" s="109">
        <v>2011</v>
      </c>
      <c r="U29" s="4">
        <v>14.405000000000001</v>
      </c>
      <c r="V29" s="4">
        <v>15.49</v>
      </c>
    </row>
    <row r="30" spans="1:22" x14ac:dyDescent="0.25">
      <c r="E30" s="3" t="s">
        <v>23</v>
      </c>
      <c r="F30" s="5">
        <f>AVERAGE(F10:F26)</f>
        <v>0.98601491848404277</v>
      </c>
      <c r="G30" s="5"/>
      <c r="H30" s="4"/>
      <c r="I30" s="4"/>
      <c r="J30" s="4"/>
      <c r="K30" s="4"/>
      <c r="L30" s="5">
        <f>AVERAGE(L10:L26)</f>
        <v>1.0668390514211838</v>
      </c>
      <c r="M30" s="7"/>
      <c r="N30" s="7"/>
      <c r="O30" s="7"/>
      <c r="P30" s="7"/>
      <c r="Q30" s="10">
        <f>AVERAGE(Q11:Q21)</f>
        <v>0.10429534847663972</v>
      </c>
      <c r="T30" s="109">
        <v>2012</v>
      </c>
      <c r="U30" s="4">
        <v>14.625</v>
      </c>
      <c r="V30" s="4">
        <v>15.52</v>
      </c>
    </row>
    <row r="31" spans="1:22" x14ac:dyDescent="0.25"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T31" s="109">
        <v>2013</v>
      </c>
      <c r="U31" s="4">
        <v>14.755000000000001</v>
      </c>
      <c r="V31" s="4">
        <v>15.370000000000001</v>
      </c>
    </row>
    <row r="32" spans="1:22" x14ac:dyDescent="0.25">
      <c r="E32" s="3" t="s">
        <v>27</v>
      </c>
      <c r="F32" s="5">
        <f>MAX(F11:F26)</f>
        <v>3.0399999999999991</v>
      </c>
      <c r="G32" s="5"/>
      <c r="H32" s="4"/>
      <c r="I32" s="4"/>
      <c r="J32" s="4"/>
      <c r="K32" s="4"/>
      <c r="L32" s="5">
        <f t="shared" ref="L32" si="10">MAX(L11:L26)</f>
        <v>2.225609756097561</v>
      </c>
      <c r="Q32" s="3">
        <v>0.63</v>
      </c>
      <c r="T32" s="109">
        <v>2014</v>
      </c>
      <c r="U32" s="4">
        <v>14.52</v>
      </c>
      <c r="V32" s="4">
        <v>15.45</v>
      </c>
    </row>
    <row r="33" spans="1:22" x14ac:dyDescent="0.25">
      <c r="T33" s="109">
        <v>2015</v>
      </c>
      <c r="U33" s="4">
        <v>14.55</v>
      </c>
      <c r="V33" s="4">
        <v>15.18</v>
      </c>
    </row>
    <row r="34" spans="1:22" x14ac:dyDescent="0.25">
      <c r="D34" s="3" t="s">
        <v>2</v>
      </c>
      <c r="F34" t="s">
        <v>50</v>
      </c>
      <c r="I34" s="3" t="s">
        <v>3</v>
      </c>
      <c r="L34" t="s">
        <v>50</v>
      </c>
      <c r="N34" s="3" t="s">
        <v>1</v>
      </c>
      <c r="R34" t="s">
        <v>50</v>
      </c>
      <c r="T34" s="109">
        <v>2016</v>
      </c>
      <c r="U34" s="4">
        <v>14.785</v>
      </c>
      <c r="V34" s="4">
        <v>15.600000000000001</v>
      </c>
    </row>
    <row r="35" spans="1:22" x14ac:dyDescent="0.25">
      <c r="A35" s="3">
        <v>1987</v>
      </c>
      <c r="B35" s="31">
        <v>31959</v>
      </c>
      <c r="D35">
        <v>0</v>
      </c>
      <c r="F35" s="3">
        <v>0</v>
      </c>
      <c r="G35" s="3">
        <v>1987</v>
      </c>
      <c r="H35" s="31">
        <v>31959</v>
      </c>
      <c r="J35">
        <v>0</v>
      </c>
      <c r="L35" s="3">
        <v>0</v>
      </c>
      <c r="M35" s="3">
        <v>1987</v>
      </c>
      <c r="N35" s="31">
        <v>31959</v>
      </c>
      <c r="P35">
        <v>0</v>
      </c>
      <c r="R35" s="3">
        <v>0</v>
      </c>
      <c r="T35" s="109">
        <v>2017</v>
      </c>
      <c r="U35" s="4">
        <v>14.78</v>
      </c>
      <c r="V35" s="4">
        <v>15.45</v>
      </c>
    </row>
    <row r="36" spans="1:22" x14ac:dyDescent="0.25">
      <c r="A36" s="3">
        <v>1990</v>
      </c>
      <c r="B36" s="31">
        <v>33012</v>
      </c>
      <c r="D36" s="9">
        <v>4.8299999999999983</v>
      </c>
      <c r="F36" s="5">
        <f>F35+D36</f>
        <v>4.8299999999999983</v>
      </c>
      <c r="G36" s="24">
        <v>1990</v>
      </c>
      <c r="H36" s="31">
        <v>33012</v>
      </c>
      <c r="J36" s="4">
        <v>6.2900000000000063</v>
      </c>
      <c r="L36" s="5">
        <f>L35+J36</f>
        <v>6.2900000000000063</v>
      </c>
      <c r="M36" s="24">
        <v>1990</v>
      </c>
      <c r="N36" s="31">
        <v>33012</v>
      </c>
      <c r="P36">
        <v>0.5</v>
      </c>
      <c r="R36" s="3">
        <f>R35+P36</f>
        <v>0.5</v>
      </c>
      <c r="T36" s="109">
        <v>2018</v>
      </c>
      <c r="U36" s="4">
        <v>14.64</v>
      </c>
      <c r="V36" s="4">
        <v>15.2</v>
      </c>
    </row>
    <row r="37" spans="1:22" x14ac:dyDescent="0.25">
      <c r="A37" s="3">
        <v>1993</v>
      </c>
      <c r="B37" s="31">
        <v>34114</v>
      </c>
      <c r="D37" s="9">
        <v>10.939999999999998</v>
      </c>
      <c r="F37" s="5">
        <f t="shared" ref="F37:F55" si="11">F36+D37</f>
        <v>15.769999999999996</v>
      </c>
      <c r="G37" s="24">
        <v>1993</v>
      </c>
      <c r="H37" s="31">
        <v>34114</v>
      </c>
      <c r="J37" s="4">
        <v>9.3699999999999974</v>
      </c>
      <c r="L37" s="5">
        <f t="shared" ref="L37:L54" si="12">L36+J37</f>
        <v>15.660000000000004</v>
      </c>
      <c r="M37" s="24">
        <v>1993</v>
      </c>
      <c r="N37" s="31">
        <v>34114</v>
      </c>
      <c r="P37" s="7">
        <v>6.64</v>
      </c>
      <c r="R37" s="3">
        <f t="shared" ref="R37:R52" si="13">R36+P37</f>
        <v>7.14</v>
      </c>
    </row>
    <row r="38" spans="1:22" x14ac:dyDescent="0.25">
      <c r="A38" s="3">
        <v>1995</v>
      </c>
      <c r="B38" s="31">
        <v>34897</v>
      </c>
      <c r="D38" s="9">
        <v>3.0499999999999972</v>
      </c>
      <c r="F38" s="5">
        <f t="shared" si="11"/>
        <v>18.819999999999993</v>
      </c>
      <c r="G38" s="24">
        <v>1995</v>
      </c>
      <c r="H38" s="31">
        <v>34897</v>
      </c>
      <c r="J38" s="4">
        <v>1.5000000000000071</v>
      </c>
      <c r="L38" s="5">
        <f t="shared" si="12"/>
        <v>17.160000000000011</v>
      </c>
      <c r="M38" s="24">
        <v>1997</v>
      </c>
      <c r="N38" s="31">
        <v>35656</v>
      </c>
      <c r="P38" s="7">
        <v>0.06</v>
      </c>
      <c r="R38" s="5">
        <f t="shared" si="13"/>
        <v>7.1999999999999993</v>
      </c>
    </row>
    <row r="39" spans="1:22" x14ac:dyDescent="0.25">
      <c r="A39" s="3">
        <v>1997</v>
      </c>
      <c r="B39" s="31">
        <v>35656</v>
      </c>
      <c r="D39" s="9">
        <v>4.0399999999999991</v>
      </c>
      <c r="F39" s="5">
        <f t="shared" si="11"/>
        <v>22.859999999999992</v>
      </c>
      <c r="G39" s="24">
        <v>1997</v>
      </c>
      <c r="H39" s="31">
        <v>35656</v>
      </c>
      <c r="J39" s="4">
        <v>5.539999999999992</v>
      </c>
      <c r="L39" s="5">
        <f t="shared" si="12"/>
        <v>22.700000000000003</v>
      </c>
      <c r="M39" s="24">
        <v>1999</v>
      </c>
      <c r="N39" s="31">
        <v>36350</v>
      </c>
      <c r="P39" s="9">
        <v>0.4</v>
      </c>
      <c r="R39" s="5">
        <f t="shared" si="13"/>
        <v>7.6</v>
      </c>
    </row>
    <row r="40" spans="1:22" x14ac:dyDescent="0.25">
      <c r="A40" s="3">
        <v>1999</v>
      </c>
      <c r="B40" s="31">
        <v>36350</v>
      </c>
      <c r="D40" s="9">
        <v>2.6700000000000017</v>
      </c>
      <c r="F40" s="5">
        <f t="shared" si="11"/>
        <v>25.529999999999994</v>
      </c>
      <c r="G40" s="24">
        <v>1999</v>
      </c>
      <c r="H40" s="31">
        <v>36350</v>
      </c>
      <c r="J40" s="4">
        <v>2.5100000000000051</v>
      </c>
      <c r="L40" s="5">
        <f t="shared" si="12"/>
        <v>25.210000000000008</v>
      </c>
      <c r="M40" s="24">
        <v>2000</v>
      </c>
      <c r="N40" s="31">
        <v>36713</v>
      </c>
      <c r="P40" s="7">
        <v>2.79</v>
      </c>
      <c r="R40" s="3">
        <f t="shared" si="13"/>
        <v>10.39</v>
      </c>
    </row>
    <row r="41" spans="1:22" x14ac:dyDescent="0.25">
      <c r="A41" s="3">
        <v>2000</v>
      </c>
      <c r="B41" s="31">
        <v>36713</v>
      </c>
      <c r="D41" s="9">
        <v>5.259999999999998</v>
      </c>
      <c r="F41" s="5">
        <f t="shared" si="11"/>
        <v>30.789999999999992</v>
      </c>
      <c r="G41" s="24">
        <v>2000</v>
      </c>
      <c r="H41" s="31">
        <v>36713</v>
      </c>
      <c r="J41" s="4">
        <v>5.2099999999999937</v>
      </c>
      <c r="L41" s="5">
        <f t="shared" si="12"/>
        <v>30.42</v>
      </c>
      <c r="M41" s="24">
        <v>2001</v>
      </c>
      <c r="N41" s="31">
        <v>37078</v>
      </c>
      <c r="P41" s="7">
        <v>0.63</v>
      </c>
      <c r="R41" s="3">
        <f t="shared" si="13"/>
        <v>11.020000000000001</v>
      </c>
    </row>
    <row r="42" spans="1:22" x14ac:dyDescent="0.25">
      <c r="A42" s="3">
        <v>2001</v>
      </c>
      <c r="B42" s="31">
        <v>37078</v>
      </c>
      <c r="D42" s="9">
        <v>3.0399999999999991</v>
      </c>
      <c r="F42" s="5">
        <f t="shared" si="11"/>
        <v>33.829999999999991</v>
      </c>
      <c r="G42" s="24">
        <v>2003</v>
      </c>
      <c r="H42" s="31">
        <v>37818</v>
      </c>
      <c r="J42" s="4">
        <v>5.7800000000000047</v>
      </c>
      <c r="L42" s="5">
        <f t="shared" si="12"/>
        <v>36.200000000000003</v>
      </c>
      <c r="M42" s="24">
        <v>2003</v>
      </c>
      <c r="N42" s="31">
        <v>37818</v>
      </c>
      <c r="P42">
        <v>0.01</v>
      </c>
      <c r="R42" s="3">
        <f t="shared" si="13"/>
        <v>11.030000000000001</v>
      </c>
    </row>
    <row r="43" spans="1:22" x14ac:dyDescent="0.25">
      <c r="A43" s="3">
        <v>2003</v>
      </c>
      <c r="B43" s="31">
        <v>37818</v>
      </c>
      <c r="D43" s="9">
        <v>2.879999999999999</v>
      </c>
      <c r="F43" s="5">
        <f t="shared" si="11"/>
        <v>36.709999999999994</v>
      </c>
      <c r="G43" s="24">
        <v>2004</v>
      </c>
      <c r="H43" s="31">
        <v>38187</v>
      </c>
      <c r="J43" s="4">
        <v>2.25</v>
      </c>
      <c r="L43" s="5">
        <f t="shared" si="12"/>
        <v>38.450000000000003</v>
      </c>
      <c r="M43" s="24">
        <v>2004</v>
      </c>
      <c r="N43" s="31">
        <v>38187</v>
      </c>
      <c r="P43" s="4">
        <v>0</v>
      </c>
      <c r="R43" s="3">
        <f t="shared" si="13"/>
        <v>11.030000000000001</v>
      </c>
    </row>
    <row r="44" spans="1:22" x14ac:dyDescent="0.25">
      <c r="A44" s="3">
        <v>2004</v>
      </c>
      <c r="B44" s="31">
        <v>38187</v>
      </c>
      <c r="D44" s="9">
        <v>1.3500000000000014</v>
      </c>
      <c r="F44" s="5">
        <f t="shared" si="11"/>
        <v>38.059999999999995</v>
      </c>
      <c r="G44" s="24">
        <v>2006</v>
      </c>
      <c r="H44" s="31">
        <v>38986</v>
      </c>
      <c r="J44" s="4">
        <v>4.3499999999999979</v>
      </c>
      <c r="L44" s="5">
        <f t="shared" si="12"/>
        <v>42.8</v>
      </c>
      <c r="M44" s="24">
        <v>2006</v>
      </c>
      <c r="N44" s="31">
        <v>38917</v>
      </c>
      <c r="P44">
        <v>-0.01</v>
      </c>
      <c r="R44" s="3">
        <f t="shared" si="13"/>
        <v>11.020000000000001</v>
      </c>
    </row>
    <row r="45" spans="1:22" x14ac:dyDescent="0.25">
      <c r="A45" s="3">
        <v>2006</v>
      </c>
      <c r="B45" s="31">
        <v>38986</v>
      </c>
      <c r="D45" s="9">
        <v>3.2899999999999991</v>
      </c>
      <c r="F45" s="5">
        <f t="shared" si="11"/>
        <v>41.349999999999994</v>
      </c>
      <c r="G45" s="24">
        <v>2009</v>
      </c>
      <c r="H45" s="31">
        <v>40009</v>
      </c>
      <c r="J45" s="4">
        <v>0.19000000000000128</v>
      </c>
      <c r="L45" s="5">
        <f t="shared" si="12"/>
        <v>42.989999999999995</v>
      </c>
      <c r="M45" s="24">
        <v>2006</v>
      </c>
      <c r="N45" s="31">
        <v>38986</v>
      </c>
      <c r="P45">
        <v>0.01</v>
      </c>
      <c r="R45" s="3">
        <f t="shared" si="13"/>
        <v>11.030000000000001</v>
      </c>
    </row>
    <row r="46" spans="1:22" x14ac:dyDescent="0.25">
      <c r="A46" s="3">
        <v>2008</v>
      </c>
      <c r="B46" s="31">
        <v>39774</v>
      </c>
      <c r="D46" s="9">
        <v>0.61000000000000298</v>
      </c>
      <c r="F46" s="5">
        <f t="shared" si="11"/>
        <v>41.959999999999994</v>
      </c>
      <c r="G46" s="24">
        <v>2011</v>
      </c>
      <c r="H46" s="13">
        <v>40737</v>
      </c>
      <c r="J46" s="7">
        <v>0.53000000000000114</v>
      </c>
      <c r="L46" s="5">
        <f t="shared" si="12"/>
        <v>43.519999999999996</v>
      </c>
      <c r="M46" s="24">
        <v>2014</v>
      </c>
      <c r="N46" s="13">
        <v>41828</v>
      </c>
      <c r="P46" s="9">
        <v>0.16</v>
      </c>
      <c r="R46" s="3">
        <f t="shared" si="13"/>
        <v>11.190000000000001</v>
      </c>
    </row>
    <row r="47" spans="1:22" x14ac:dyDescent="0.25">
      <c r="A47" s="3">
        <v>2009</v>
      </c>
      <c r="B47" s="31">
        <v>40009</v>
      </c>
      <c r="D47" s="4">
        <v>0.27999999999999758</v>
      </c>
      <c r="F47" s="5">
        <f t="shared" si="11"/>
        <v>42.239999999999995</v>
      </c>
      <c r="G47" s="24">
        <v>2012</v>
      </c>
      <c r="H47" s="13">
        <v>41199</v>
      </c>
      <c r="J47" s="7">
        <v>0.21999999999999886</v>
      </c>
      <c r="L47" s="5">
        <f t="shared" si="12"/>
        <v>43.739999999999995</v>
      </c>
      <c r="M47" s="24">
        <v>2015</v>
      </c>
      <c r="N47" s="13">
        <v>42198</v>
      </c>
      <c r="P47" s="9">
        <v>7.0000000000000007E-2</v>
      </c>
      <c r="R47" s="3">
        <f t="shared" si="13"/>
        <v>11.260000000000002</v>
      </c>
    </row>
    <row r="48" spans="1:22" x14ac:dyDescent="0.25">
      <c r="A48" s="3">
        <v>2011</v>
      </c>
      <c r="B48" s="13">
        <v>40737</v>
      </c>
      <c r="D48" s="14">
        <v>0.12999999999999901</v>
      </c>
      <c r="F48" s="5">
        <f t="shared" si="11"/>
        <v>42.36999999999999</v>
      </c>
      <c r="G48" s="24">
        <v>2013</v>
      </c>
      <c r="H48" s="13">
        <v>41459</v>
      </c>
      <c r="J48" s="7">
        <v>0.17999999999999972</v>
      </c>
      <c r="L48" s="5">
        <f t="shared" si="12"/>
        <v>43.919999999999995</v>
      </c>
      <c r="M48" s="24">
        <v>2016</v>
      </c>
      <c r="N48" s="13">
        <v>42628</v>
      </c>
      <c r="P48" s="9">
        <v>0</v>
      </c>
      <c r="R48" s="3">
        <f t="shared" si="13"/>
        <v>11.260000000000002</v>
      </c>
    </row>
    <row r="49" spans="1:18" x14ac:dyDescent="0.25">
      <c r="A49" s="3">
        <v>2012</v>
      </c>
      <c r="B49" s="13">
        <v>41199</v>
      </c>
      <c r="D49" s="14">
        <v>8.0000000000001847E-2</v>
      </c>
      <c r="F49" s="5">
        <f t="shared" si="11"/>
        <v>42.449999999999989</v>
      </c>
      <c r="G49" s="24">
        <v>2014</v>
      </c>
      <c r="H49" s="13">
        <v>41828</v>
      </c>
      <c r="J49" s="7">
        <v>3.0000000000001137E-2</v>
      </c>
      <c r="L49" s="5">
        <f t="shared" si="12"/>
        <v>43.949999999999996</v>
      </c>
      <c r="M49" s="24">
        <v>2019</v>
      </c>
      <c r="N49" s="13">
        <v>43748</v>
      </c>
      <c r="P49" s="9">
        <v>-0.02</v>
      </c>
      <c r="R49" s="3">
        <f t="shared" si="13"/>
        <v>11.240000000000002</v>
      </c>
    </row>
    <row r="50" spans="1:18" x14ac:dyDescent="0.25">
      <c r="A50" s="3">
        <v>2013</v>
      </c>
      <c r="B50" s="13">
        <v>41459</v>
      </c>
      <c r="D50" s="14">
        <v>0.14999999999999858</v>
      </c>
      <c r="F50" s="5">
        <f t="shared" si="11"/>
        <v>42.599999999999987</v>
      </c>
      <c r="G50" s="24">
        <v>2015</v>
      </c>
      <c r="H50" s="13">
        <v>42198</v>
      </c>
      <c r="J50" s="7">
        <v>3.9999999999999147E-2</v>
      </c>
      <c r="L50" s="5">
        <f t="shared" si="12"/>
        <v>43.989999999999995</v>
      </c>
      <c r="M50" s="24">
        <v>2020</v>
      </c>
      <c r="N50" s="13">
        <v>44060</v>
      </c>
      <c r="P50" s="9">
        <v>0</v>
      </c>
      <c r="R50" s="3">
        <f t="shared" si="13"/>
        <v>11.240000000000002</v>
      </c>
    </row>
    <row r="51" spans="1:18" x14ac:dyDescent="0.25">
      <c r="A51" s="3">
        <v>2015</v>
      </c>
      <c r="B51" s="13">
        <v>42198</v>
      </c>
      <c r="D51" s="14">
        <v>-9.9999999999980105E-3</v>
      </c>
      <c r="F51" s="5">
        <f t="shared" si="11"/>
        <v>42.589999999999989</v>
      </c>
      <c r="G51" s="24">
        <v>2016</v>
      </c>
      <c r="H51" s="13">
        <v>42628</v>
      </c>
      <c r="J51" s="7">
        <v>0.19999999999999929</v>
      </c>
      <c r="L51" s="5">
        <f t="shared" si="12"/>
        <v>44.19</v>
      </c>
      <c r="M51" s="24">
        <v>2022</v>
      </c>
      <c r="N51" s="1">
        <v>44777</v>
      </c>
      <c r="P51" s="9">
        <v>0</v>
      </c>
      <c r="R51" s="3">
        <f t="shared" si="13"/>
        <v>11.240000000000002</v>
      </c>
    </row>
    <row r="52" spans="1:18" x14ac:dyDescent="0.25">
      <c r="A52" s="3">
        <v>2016</v>
      </c>
      <c r="B52" s="13">
        <v>42628</v>
      </c>
      <c r="D52" s="14">
        <v>-1.9999999999999574E-2</v>
      </c>
      <c r="F52" s="5">
        <f t="shared" si="11"/>
        <v>42.569999999999993</v>
      </c>
      <c r="G52" s="24">
        <v>2020</v>
      </c>
      <c r="H52" s="13">
        <v>44060</v>
      </c>
      <c r="J52" s="7">
        <v>0.12999999999999901</v>
      </c>
      <c r="L52" s="5">
        <f t="shared" si="12"/>
        <v>44.319999999999993</v>
      </c>
      <c r="M52" s="24">
        <v>2023</v>
      </c>
      <c r="N52" s="1">
        <v>45152</v>
      </c>
      <c r="P52" s="9">
        <v>0</v>
      </c>
      <c r="R52" s="3">
        <f t="shared" si="13"/>
        <v>11.240000000000002</v>
      </c>
    </row>
    <row r="53" spans="1:18" x14ac:dyDescent="0.25">
      <c r="A53" s="3">
        <v>2019</v>
      </c>
      <c r="B53" s="13">
        <v>43748</v>
      </c>
      <c r="D53" s="4">
        <v>-5.0000000000000711E-2</v>
      </c>
      <c r="F53" s="5">
        <f t="shared" si="11"/>
        <v>42.519999999999996</v>
      </c>
      <c r="G53" s="24">
        <v>2022</v>
      </c>
      <c r="H53" s="1">
        <v>44777</v>
      </c>
      <c r="J53" s="7">
        <v>-0.03</v>
      </c>
      <c r="L53" s="5">
        <f t="shared" si="12"/>
        <v>44.289999999999992</v>
      </c>
      <c r="M53" s="24"/>
      <c r="N53" s="24">
        <v>2030</v>
      </c>
      <c r="R53" s="10">
        <v>11.247867386500275</v>
      </c>
    </row>
    <row r="54" spans="1:18" x14ac:dyDescent="0.25">
      <c r="A54" s="3">
        <v>2020</v>
      </c>
      <c r="B54" s="13">
        <v>44060</v>
      </c>
      <c r="D54" s="4">
        <v>7.0000000000000284E-2</v>
      </c>
      <c r="F54" s="5">
        <f t="shared" si="11"/>
        <v>42.589999999999996</v>
      </c>
      <c r="G54" s="24">
        <v>2023</v>
      </c>
      <c r="H54" s="1">
        <v>45152</v>
      </c>
      <c r="J54" s="7">
        <v>0.24</v>
      </c>
      <c r="L54" s="5">
        <f t="shared" si="12"/>
        <v>44.529999999999994</v>
      </c>
      <c r="M54" s="104"/>
      <c r="N54" s="104">
        <v>2040</v>
      </c>
      <c r="R54" s="10">
        <v>11.152386728500005</v>
      </c>
    </row>
    <row r="55" spans="1:18" x14ac:dyDescent="0.25">
      <c r="A55" s="3">
        <v>2023</v>
      </c>
      <c r="B55" s="1">
        <v>45152</v>
      </c>
      <c r="D55" s="4">
        <v>0.18</v>
      </c>
      <c r="F55" s="5">
        <f t="shared" si="11"/>
        <v>42.769999999999996</v>
      </c>
      <c r="G55" s="5"/>
      <c r="M55" s="104"/>
      <c r="N55" s="104">
        <v>2050</v>
      </c>
      <c r="R55" s="10">
        <v>10.959065970500433</v>
      </c>
    </row>
    <row r="56" spans="1:18" x14ac:dyDescent="0.25">
      <c r="R56" s="7"/>
    </row>
    <row r="57" spans="1:18" x14ac:dyDescent="0.25">
      <c r="B57" s="105"/>
      <c r="C57" s="3">
        <v>2030</v>
      </c>
      <c r="D57" s="5"/>
      <c r="F57" s="5">
        <v>44.508096963167191</v>
      </c>
    </row>
    <row r="58" spans="1:18" x14ac:dyDescent="0.25">
      <c r="B58" s="3"/>
      <c r="C58" s="3">
        <v>2040</v>
      </c>
      <c r="D58" s="3"/>
      <c r="F58" s="5">
        <v>51.318932324647903</v>
      </c>
    </row>
    <row r="59" spans="1:18" x14ac:dyDescent="0.25">
      <c r="B59" s="3"/>
      <c r="C59" s="3">
        <v>2050</v>
      </c>
      <c r="D59" s="3"/>
      <c r="F59" s="5">
        <v>62.908852130174637</v>
      </c>
    </row>
    <row r="80" spans="19:19" x14ac:dyDescent="0.25">
      <c r="S80" s="4"/>
    </row>
    <row r="94" spans="18:19" x14ac:dyDescent="0.25">
      <c r="R94" s="3">
        <v>2030</v>
      </c>
      <c r="S94" s="5">
        <f>-0.0004892005*N53^2+1.9814979692*N53-1995.2466696395</f>
        <v>11.247867386500275</v>
      </c>
    </row>
    <row r="95" spans="18:19" x14ac:dyDescent="0.25">
      <c r="R95" s="3">
        <v>2040</v>
      </c>
      <c r="S95" s="5">
        <f>-0.0004892005*N54^2+1.9814979692*N54-1995.2466696395</f>
        <v>11.152386728500005</v>
      </c>
    </row>
    <row r="96" spans="18:19" x14ac:dyDescent="0.25">
      <c r="R96" s="3">
        <v>2050</v>
      </c>
      <c r="S96" s="5">
        <f>-0.0004892005*N55^2+1.9814979692*N55-1995.2466696395</f>
        <v>10.959065970500433</v>
      </c>
    </row>
    <row r="97" spans="1:3" x14ac:dyDescent="0.25">
      <c r="A97">
        <v>2030</v>
      </c>
      <c r="C97">
        <f>-0.000013701756490736*C57^4+0.111515999780504*C57^3-340.325274187007*C57^2+461566.348959101*C57-234731458.276556</f>
        <v>44.508096963167191</v>
      </c>
    </row>
    <row r="98" spans="1:3" x14ac:dyDescent="0.25">
      <c r="A98">
        <v>2040</v>
      </c>
      <c r="C98">
        <f t="shared" ref="C98:C99" si="14">-0.000013701756490736*C58^4+0.111515999780504*C58^3-340.325274187007*C58^2+461566.348959101*C58-234731458.276556</f>
        <v>51.318932324647903</v>
      </c>
    </row>
    <row r="99" spans="1:3" x14ac:dyDescent="0.25">
      <c r="A99">
        <v>2050</v>
      </c>
      <c r="C99">
        <f t="shared" si="14"/>
        <v>62.908852130174637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opLeftCell="E13" workbookViewId="0">
      <selection activeCell="R34" sqref="R34"/>
    </sheetView>
  </sheetViews>
  <sheetFormatPr defaultRowHeight="15" x14ac:dyDescent="0.25"/>
  <cols>
    <col min="2" max="2" width="11.85546875" customWidth="1"/>
    <col min="3" max="3" width="9.140625" customWidth="1"/>
    <col min="7" max="8" width="11.7109375" customWidth="1"/>
    <col min="14" max="14" width="11.140625" customWidth="1"/>
  </cols>
  <sheetData>
    <row r="1" spans="1:22" x14ac:dyDescent="0.25">
      <c r="B1" s="3" t="s">
        <v>12</v>
      </c>
    </row>
    <row r="2" spans="1:22" x14ac:dyDescent="0.25">
      <c r="C2" s="3" t="s">
        <v>13</v>
      </c>
      <c r="H2" s="3" t="s">
        <v>14</v>
      </c>
      <c r="M2" s="3" t="s">
        <v>15</v>
      </c>
      <c r="R2" s="8"/>
      <c r="S2" s="7"/>
      <c r="T2" s="7"/>
      <c r="U2" s="7"/>
    </row>
    <row r="3" spans="1:22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t="s">
        <v>47</v>
      </c>
      <c r="U3" t="s">
        <v>48</v>
      </c>
    </row>
    <row r="4" spans="1:22" x14ac:dyDescent="0.25">
      <c r="A4">
        <v>1958</v>
      </c>
      <c r="B4" s="1">
        <v>21458</v>
      </c>
      <c r="C4" s="29"/>
      <c r="D4" s="9"/>
      <c r="E4" s="7"/>
      <c r="F4" s="10"/>
      <c r="H4" s="3"/>
      <c r="M4" s="3"/>
      <c r="R4" s="8"/>
      <c r="S4" s="7"/>
      <c r="T4" s="109">
        <v>1986</v>
      </c>
      <c r="U4" s="4">
        <v>14.350000000000001</v>
      </c>
      <c r="V4" s="4">
        <v>15.34</v>
      </c>
    </row>
    <row r="5" spans="1:22" x14ac:dyDescent="0.25">
      <c r="A5">
        <v>1960</v>
      </c>
      <c r="B5" s="1">
        <v>22211</v>
      </c>
      <c r="C5" s="30">
        <v>753</v>
      </c>
      <c r="D5" s="9">
        <v>4.7000000000000171</v>
      </c>
      <c r="E5" s="7">
        <v>366</v>
      </c>
      <c r="F5" s="6">
        <f t="shared" ref="F5:F18" si="0">E5*D5/C5</f>
        <v>2.2844621513944303</v>
      </c>
      <c r="G5" s="3">
        <v>1960</v>
      </c>
      <c r="H5" s="23">
        <v>753</v>
      </c>
      <c r="I5" s="4">
        <v>7</v>
      </c>
      <c r="J5" s="7">
        <v>366</v>
      </c>
      <c r="K5" s="6">
        <f>J5*I5/H5</f>
        <v>3.402390438247012</v>
      </c>
      <c r="L5" s="3">
        <v>1960</v>
      </c>
      <c r="M5" s="23">
        <v>753</v>
      </c>
      <c r="N5" s="4">
        <v>7.6999999999999602</v>
      </c>
      <c r="O5" s="7">
        <v>366</v>
      </c>
      <c r="P5" s="6">
        <f>O5*N5/M5</f>
        <v>3.7426294820716937</v>
      </c>
      <c r="R5" s="8"/>
      <c r="S5" s="7"/>
      <c r="T5" s="109">
        <v>1987</v>
      </c>
      <c r="U5" s="4">
        <v>14.45</v>
      </c>
      <c r="V5" s="4">
        <v>15.379999999999999</v>
      </c>
    </row>
    <row r="6" spans="1:22" x14ac:dyDescent="0.25">
      <c r="A6">
        <v>1965</v>
      </c>
      <c r="B6" s="1">
        <v>23952</v>
      </c>
      <c r="C6" s="30">
        <v>1741</v>
      </c>
      <c r="D6" s="9">
        <v>25.099999999999994</v>
      </c>
      <c r="E6" s="7">
        <v>365</v>
      </c>
      <c r="F6" s="6">
        <f t="shared" si="0"/>
        <v>5.2622056289488786</v>
      </c>
      <c r="G6" s="3">
        <v>1965</v>
      </c>
      <c r="H6" s="23">
        <v>1741</v>
      </c>
      <c r="I6" s="4">
        <v>20.199999999999989</v>
      </c>
      <c r="J6" s="7">
        <v>365</v>
      </c>
      <c r="K6" s="6">
        <f t="shared" ref="K6:K18" si="1">J6*I6/H6</f>
        <v>4.2349224583572633</v>
      </c>
      <c r="L6" s="3">
        <v>1965</v>
      </c>
      <c r="M6" s="23">
        <v>1741</v>
      </c>
      <c r="N6" s="4">
        <v>19.300000000000011</v>
      </c>
      <c r="O6" s="7">
        <v>365</v>
      </c>
      <c r="P6" s="6">
        <f t="shared" ref="P6:P18" si="2">O6*N6/M6</f>
        <v>4.0462377943710539</v>
      </c>
      <c r="R6" s="8"/>
      <c r="S6" s="7"/>
      <c r="T6" s="109">
        <v>1988</v>
      </c>
      <c r="U6" s="4">
        <v>14.605</v>
      </c>
      <c r="V6" s="4">
        <v>15.59</v>
      </c>
    </row>
    <row r="7" spans="1:22" x14ac:dyDescent="0.25">
      <c r="A7">
        <v>1970</v>
      </c>
      <c r="B7" s="1">
        <v>25766</v>
      </c>
      <c r="C7" s="30">
        <v>1814</v>
      </c>
      <c r="D7" s="9">
        <v>17.260000000000005</v>
      </c>
      <c r="E7" s="7">
        <v>365</v>
      </c>
      <c r="F7" s="6">
        <f t="shared" si="0"/>
        <v>3.4729327453142234</v>
      </c>
      <c r="G7" s="3">
        <v>1970</v>
      </c>
      <c r="H7" s="23">
        <v>1814</v>
      </c>
      <c r="I7" s="4">
        <v>17.610000000000014</v>
      </c>
      <c r="J7" s="7">
        <v>365</v>
      </c>
      <c r="K7" s="6">
        <f t="shared" si="1"/>
        <v>3.5433572216097051</v>
      </c>
      <c r="L7" s="3">
        <v>1970</v>
      </c>
      <c r="M7" s="23">
        <v>1814</v>
      </c>
      <c r="N7" s="4">
        <v>20.169999999999987</v>
      </c>
      <c r="O7" s="7">
        <v>365</v>
      </c>
      <c r="P7" s="6">
        <f t="shared" si="2"/>
        <v>4.0584619625137792</v>
      </c>
      <c r="R7" s="8"/>
      <c r="S7" s="7"/>
      <c r="T7" s="109">
        <v>1989</v>
      </c>
      <c r="U7" s="4">
        <v>14.335000000000001</v>
      </c>
      <c r="V7" s="4">
        <v>15.23</v>
      </c>
    </row>
    <row r="8" spans="1:22" x14ac:dyDescent="0.25">
      <c r="A8">
        <v>1974</v>
      </c>
      <c r="B8" s="1">
        <v>27226</v>
      </c>
      <c r="C8" s="30">
        <v>1460</v>
      </c>
      <c r="D8" s="9">
        <v>6.7399999999999949</v>
      </c>
      <c r="E8" s="7">
        <v>365</v>
      </c>
      <c r="F8" s="6">
        <f t="shared" si="0"/>
        <v>1.6849999999999987</v>
      </c>
      <c r="G8" s="3">
        <v>1974</v>
      </c>
      <c r="H8" s="23">
        <v>1460</v>
      </c>
      <c r="I8" s="4">
        <v>8.1899999999999977</v>
      </c>
      <c r="J8" s="7">
        <v>365</v>
      </c>
      <c r="K8" s="6">
        <f t="shared" si="1"/>
        <v>2.0474999999999994</v>
      </c>
      <c r="L8" s="3">
        <v>1974</v>
      </c>
      <c r="M8" s="23">
        <v>1460</v>
      </c>
      <c r="N8" s="4">
        <v>10.830000000000013</v>
      </c>
      <c r="O8" s="7">
        <v>365</v>
      </c>
      <c r="P8" s="6">
        <f t="shared" si="2"/>
        <v>2.7075000000000031</v>
      </c>
      <c r="R8" s="8"/>
      <c r="S8" s="7"/>
      <c r="T8" s="109">
        <v>1990</v>
      </c>
      <c r="U8" s="4">
        <v>14.795</v>
      </c>
      <c r="V8" s="4">
        <v>15.31</v>
      </c>
    </row>
    <row r="9" spans="1:22" x14ac:dyDescent="0.25">
      <c r="A9">
        <v>1980</v>
      </c>
      <c r="B9" s="1">
        <v>29552</v>
      </c>
      <c r="C9" s="30">
        <v>2326</v>
      </c>
      <c r="D9" s="9">
        <v>4.1999999999999886</v>
      </c>
      <c r="E9" s="7">
        <v>366</v>
      </c>
      <c r="F9" s="10">
        <f t="shared" si="0"/>
        <v>0.66087704213241427</v>
      </c>
      <c r="G9" s="3">
        <v>1980</v>
      </c>
      <c r="H9" s="23">
        <v>2326</v>
      </c>
      <c r="I9" s="4">
        <v>11.499999999999986</v>
      </c>
      <c r="J9" s="7">
        <v>366</v>
      </c>
      <c r="K9" s="6">
        <f t="shared" si="1"/>
        <v>1.8095442820292325</v>
      </c>
      <c r="L9" s="3">
        <v>1980</v>
      </c>
      <c r="M9" s="23">
        <v>2326</v>
      </c>
      <c r="N9" s="4">
        <v>9.6800000000000068</v>
      </c>
      <c r="O9" s="7">
        <v>366</v>
      </c>
      <c r="P9" s="6">
        <f t="shared" si="2"/>
        <v>1.523164230438522</v>
      </c>
      <c r="R9" s="8"/>
      <c r="S9" s="7"/>
      <c r="T9" s="109">
        <v>1991</v>
      </c>
      <c r="U9" s="4">
        <v>14.719999999999999</v>
      </c>
      <c r="V9" s="4">
        <v>16.04</v>
      </c>
    </row>
    <row r="10" spans="1:22" x14ac:dyDescent="0.25">
      <c r="A10">
        <v>1986</v>
      </c>
      <c r="B10" s="1">
        <v>31712</v>
      </c>
      <c r="C10" s="30">
        <v>2160</v>
      </c>
      <c r="D10" s="9">
        <v>8.6000000000000085</v>
      </c>
      <c r="E10" s="7">
        <v>365</v>
      </c>
      <c r="F10" s="6">
        <f t="shared" si="0"/>
        <v>1.4532407407407422</v>
      </c>
      <c r="G10" s="3">
        <v>1986</v>
      </c>
      <c r="H10" s="23">
        <v>2160</v>
      </c>
      <c r="I10" s="4">
        <v>5.2000000000000028</v>
      </c>
      <c r="J10" s="7">
        <v>365</v>
      </c>
      <c r="K10" s="10">
        <f t="shared" si="1"/>
        <v>0.87870370370370421</v>
      </c>
      <c r="L10" s="3">
        <v>1986</v>
      </c>
      <c r="M10" s="23">
        <v>2160</v>
      </c>
      <c r="N10" s="4">
        <v>7.3999999999999915</v>
      </c>
      <c r="O10" s="7">
        <v>365</v>
      </c>
      <c r="P10" s="6">
        <f t="shared" si="2"/>
        <v>1.2504629629629616</v>
      </c>
      <c r="R10" s="8"/>
      <c r="S10" s="7"/>
      <c r="T10" s="109">
        <v>1992</v>
      </c>
      <c r="U10" s="4">
        <v>14.719999999999999</v>
      </c>
      <c r="V10" s="4">
        <v>15.21</v>
      </c>
    </row>
    <row r="11" spans="1:22" x14ac:dyDescent="0.25">
      <c r="A11">
        <v>1989</v>
      </c>
      <c r="B11" s="1">
        <v>32649</v>
      </c>
      <c r="C11" s="30">
        <v>937</v>
      </c>
      <c r="D11" s="9">
        <v>1.5499999999999972</v>
      </c>
      <c r="E11" s="7">
        <v>365</v>
      </c>
      <c r="F11" s="10">
        <f t="shared" si="0"/>
        <v>0.60378868729989221</v>
      </c>
      <c r="G11" s="3">
        <v>1989</v>
      </c>
      <c r="H11" s="23">
        <v>937</v>
      </c>
      <c r="I11" s="4">
        <v>3.1500000000000057</v>
      </c>
      <c r="J11" s="7">
        <v>365</v>
      </c>
      <c r="K11" s="6">
        <f t="shared" si="1"/>
        <v>1.2270544290288175</v>
      </c>
      <c r="L11" s="3">
        <v>1989</v>
      </c>
      <c r="M11" s="23">
        <v>937</v>
      </c>
      <c r="N11" s="4">
        <v>2</v>
      </c>
      <c r="O11" s="7">
        <v>365</v>
      </c>
      <c r="P11" s="10">
        <f t="shared" si="2"/>
        <v>0.77908217716115258</v>
      </c>
      <c r="R11" s="8"/>
      <c r="S11" s="7"/>
      <c r="T11" s="109">
        <v>1993</v>
      </c>
      <c r="U11" s="4">
        <v>14.635000000000002</v>
      </c>
      <c r="V11" s="4">
        <v>15.219999999999999</v>
      </c>
    </row>
    <row r="12" spans="1:22" x14ac:dyDescent="0.25">
      <c r="A12">
        <v>1994</v>
      </c>
      <c r="B12" s="1">
        <v>34631</v>
      </c>
      <c r="C12" s="30">
        <v>1982</v>
      </c>
      <c r="D12" s="9">
        <v>3.3599999999999994</v>
      </c>
      <c r="E12" s="7">
        <v>365</v>
      </c>
      <c r="F12" s="10">
        <f t="shared" si="0"/>
        <v>0.61876892028254282</v>
      </c>
      <c r="G12" s="3">
        <v>1994</v>
      </c>
      <c r="H12" s="23">
        <v>1982</v>
      </c>
      <c r="I12" s="4">
        <v>6.25</v>
      </c>
      <c r="J12" s="7">
        <v>365</v>
      </c>
      <c r="K12" s="6">
        <f t="shared" si="1"/>
        <v>1.15098385469223</v>
      </c>
      <c r="L12" s="3">
        <v>1994</v>
      </c>
      <c r="M12" s="23">
        <v>1982</v>
      </c>
      <c r="N12" s="4">
        <v>7.75</v>
      </c>
      <c r="O12" s="7">
        <v>365</v>
      </c>
      <c r="P12" s="6">
        <f t="shared" si="2"/>
        <v>1.4272199798183653</v>
      </c>
      <c r="R12" s="8"/>
      <c r="S12" s="7"/>
      <c r="T12" s="109">
        <v>1994</v>
      </c>
      <c r="U12" s="4">
        <v>14.655000000000001</v>
      </c>
      <c r="V12" s="4">
        <v>15.34</v>
      </c>
    </row>
    <row r="13" spans="1:22" x14ac:dyDescent="0.25">
      <c r="A13">
        <v>2003</v>
      </c>
      <c r="B13" s="1">
        <v>37825</v>
      </c>
      <c r="C13" s="30">
        <v>3194</v>
      </c>
      <c r="D13" s="9">
        <v>1.9300000000000068</v>
      </c>
      <c r="E13" s="7">
        <v>365</v>
      </c>
      <c r="F13" s="10">
        <f t="shared" si="0"/>
        <v>0.2205541640576088</v>
      </c>
      <c r="G13" s="3">
        <v>2003</v>
      </c>
      <c r="H13" s="23">
        <v>3194</v>
      </c>
      <c r="I13" s="4">
        <v>10.449999999999989</v>
      </c>
      <c r="J13" s="7">
        <v>365</v>
      </c>
      <c r="K13" s="6">
        <f t="shared" si="1"/>
        <v>1.1941922354414514</v>
      </c>
      <c r="L13" s="3">
        <v>2003</v>
      </c>
      <c r="M13" s="23">
        <v>3194</v>
      </c>
      <c r="N13" s="4">
        <v>10.579999999999998</v>
      </c>
      <c r="O13" s="7">
        <v>365</v>
      </c>
      <c r="P13" s="6">
        <f t="shared" si="2"/>
        <v>1.2090482154038822</v>
      </c>
      <c r="R13" s="8"/>
      <c r="S13" s="7"/>
      <c r="T13" s="109">
        <v>1995</v>
      </c>
      <c r="U13" s="4">
        <v>14.75</v>
      </c>
      <c r="V13" s="4">
        <v>15.58</v>
      </c>
    </row>
    <row r="14" spans="1:22" x14ac:dyDescent="0.25">
      <c r="A14">
        <v>2004</v>
      </c>
      <c r="B14" s="1">
        <v>38195</v>
      </c>
      <c r="C14" s="30">
        <v>370</v>
      </c>
      <c r="D14" s="9">
        <v>0.34999999999999432</v>
      </c>
      <c r="E14" s="7">
        <v>366</v>
      </c>
      <c r="F14" s="10">
        <f t="shared" si="0"/>
        <v>0.34621621621621057</v>
      </c>
      <c r="G14" s="3">
        <v>2004</v>
      </c>
      <c r="H14" s="23">
        <v>370</v>
      </c>
      <c r="I14" s="4">
        <v>1.1000000000000085</v>
      </c>
      <c r="J14" s="7">
        <v>366</v>
      </c>
      <c r="K14" s="10">
        <f t="shared" si="1"/>
        <v>1.0881081081081165</v>
      </c>
      <c r="L14" s="3">
        <v>2004</v>
      </c>
      <c r="M14" s="23">
        <v>370</v>
      </c>
      <c r="N14" s="4">
        <v>1.5100000000000051</v>
      </c>
      <c r="O14" s="7">
        <v>366</v>
      </c>
      <c r="P14" s="6">
        <f t="shared" si="2"/>
        <v>1.4936756756756808</v>
      </c>
      <c r="R14" s="8"/>
      <c r="S14" s="7"/>
      <c r="T14" s="109">
        <v>1996</v>
      </c>
      <c r="U14" s="4">
        <v>14.524999999999999</v>
      </c>
      <c r="V14" s="4">
        <v>15.280000000000001</v>
      </c>
    </row>
    <row r="15" spans="1:22" x14ac:dyDescent="0.25">
      <c r="A15">
        <v>2006</v>
      </c>
      <c r="B15" s="1">
        <v>38921</v>
      </c>
      <c r="C15" s="30"/>
      <c r="D15" s="9"/>
      <c r="E15" s="7"/>
      <c r="F15" s="10"/>
      <c r="G15" s="3"/>
      <c r="H15" s="23"/>
      <c r="I15" s="4"/>
      <c r="J15" s="7"/>
      <c r="K15" s="10"/>
      <c r="L15" s="3"/>
      <c r="M15" s="23"/>
      <c r="N15" s="4"/>
      <c r="O15" s="7"/>
      <c r="P15" s="10"/>
      <c r="R15" s="8"/>
      <c r="S15" s="7"/>
      <c r="T15" s="109">
        <v>1997</v>
      </c>
      <c r="U15" s="4">
        <v>14.685</v>
      </c>
      <c r="V15" s="4">
        <v>15.5</v>
      </c>
    </row>
    <row r="16" spans="1:22" x14ac:dyDescent="0.25">
      <c r="A16">
        <v>2006</v>
      </c>
      <c r="B16" s="1">
        <v>38990</v>
      </c>
      <c r="C16" s="30">
        <v>795</v>
      </c>
      <c r="D16" s="9">
        <v>0.34000000000000341</v>
      </c>
      <c r="E16" s="7">
        <v>365</v>
      </c>
      <c r="F16" s="10">
        <f t="shared" si="0"/>
        <v>0.15610062893081916</v>
      </c>
      <c r="G16" s="3">
        <v>2006</v>
      </c>
      <c r="H16" s="23">
        <v>795</v>
      </c>
      <c r="I16" s="4">
        <v>3.7599999999999909</v>
      </c>
      <c r="J16" s="7">
        <v>365</v>
      </c>
      <c r="K16" s="6">
        <f t="shared" si="1"/>
        <v>1.7262893081760964</v>
      </c>
      <c r="L16" s="3">
        <v>2006</v>
      </c>
      <c r="M16" s="23">
        <v>795</v>
      </c>
      <c r="N16" s="4">
        <v>3.480000000000004</v>
      </c>
      <c r="O16" s="7">
        <v>365</v>
      </c>
      <c r="P16" s="6">
        <f t="shared" si="2"/>
        <v>1.5977358490566056</v>
      </c>
      <c r="R16" s="8"/>
      <c r="S16" s="7"/>
      <c r="T16" s="109">
        <v>1998</v>
      </c>
      <c r="U16" s="4">
        <v>14.68</v>
      </c>
      <c r="V16" s="4">
        <v>15.39</v>
      </c>
    </row>
    <row r="17" spans="1:22" x14ac:dyDescent="0.25">
      <c r="A17">
        <v>2009</v>
      </c>
      <c r="B17" s="1">
        <v>40013</v>
      </c>
      <c r="C17" s="30">
        <v>1023</v>
      </c>
      <c r="D17" s="9">
        <v>0.40000000000000568</v>
      </c>
      <c r="E17" s="7">
        <v>365</v>
      </c>
      <c r="F17" s="10">
        <f t="shared" si="0"/>
        <v>0.14271749755620927</v>
      </c>
      <c r="G17" s="3">
        <v>2009</v>
      </c>
      <c r="H17" s="23">
        <v>1023</v>
      </c>
      <c r="I17" s="4">
        <v>2.5900000000000034</v>
      </c>
      <c r="J17" s="7">
        <v>365</v>
      </c>
      <c r="K17" s="10">
        <f t="shared" si="1"/>
        <v>0.92409579667644304</v>
      </c>
      <c r="L17" s="3">
        <v>2009</v>
      </c>
      <c r="M17" s="23">
        <v>1023</v>
      </c>
      <c r="N17" s="4">
        <v>1.5</v>
      </c>
      <c r="O17" s="7">
        <v>365</v>
      </c>
      <c r="P17" s="10">
        <f t="shared" si="2"/>
        <v>0.53519061583577709</v>
      </c>
      <c r="R17" s="8"/>
      <c r="S17" s="7"/>
      <c r="T17" s="109">
        <v>1999</v>
      </c>
      <c r="U17" s="4">
        <v>14.654999999999999</v>
      </c>
      <c r="V17" s="4">
        <v>15.25</v>
      </c>
    </row>
    <row r="18" spans="1:22" x14ac:dyDescent="0.25">
      <c r="A18">
        <v>2010</v>
      </c>
      <c r="B18" s="1">
        <v>40383</v>
      </c>
      <c r="C18" s="10">
        <v>370</v>
      </c>
      <c r="D18" s="9">
        <v>6.0000000000002274E-2</v>
      </c>
      <c r="E18" s="7">
        <v>365</v>
      </c>
      <c r="F18" s="10">
        <f t="shared" si="0"/>
        <v>5.918918918919143E-2</v>
      </c>
      <c r="G18" s="3">
        <v>2010</v>
      </c>
      <c r="H18" s="23">
        <v>370</v>
      </c>
      <c r="I18" s="4">
        <v>0.24000000000000909</v>
      </c>
      <c r="J18" s="7">
        <v>365</v>
      </c>
      <c r="K18" s="10">
        <f t="shared" si="1"/>
        <v>0.23675675675676572</v>
      </c>
      <c r="L18" s="3">
        <v>2010</v>
      </c>
      <c r="M18" s="23">
        <v>370</v>
      </c>
      <c r="N18" s="4">
        <v>1.0899999999999892</v>
      </c>
      <c r="O18" s="7">
        <v>365</v>
      </c>
      <c r="P18" s="10">
        <f t="shared" si="2"/>
        <v>1.0752702702702597</v>
      </c>
      <c r="R18" s="8"/>
      <c r="S18" s="7"/>
      <c r="T18" s="109">
        <v>2000</v>
      </c>
      <c r="U18" s="4">
        <v>14.75</v>
      </c>
      <c r="V18" s="4">
        <v>15.31</v>
      </c>
    </row>
    <row r="19" spans="1:22" x14ac:dyDescent="0.25">
      <c r="A19">
        <v>2012</v>
      </c>
      <c r="B19" s="1">
        <v>41197</v>
      </c>
      <c r="C19" s="12">
        <v>814</v>
      </c>
      <c r="D19" s="12">
        <v>3.2199999999999918</v>
      </c>
      <c r="E19" s="21">
        <v>366</v>
      </c>
      <c r="F19" s="6">
        <f>E19*D19/C19</f>
        <v>1.4478132678132642</v>
      </c>
      <c r="G19" s="8">
        <v>2012</v>
      </c>
      <c r="H19" s="7">
        <v>814</v>
      </c>
      <c r="I19" s="7">
        <v>1.6699999999999946</v>
      </c>
      <c r="J19" s="21">
        <v>366</v>
      </c>
      <c r="K19" s="10">
        <f t="shared" ref="K19" si="3">J19*I19/H19</f>
        <v>0.7508845208845184</v>
      </c>
      <c r="L19" s="8">
        <v>2012</v>
      </c>
      <c r="M19" s="7">
        <v>814</v>
      </c>
      <c r="N19" s="7">
        <v>1.5200000000000102</v>
      </c>
      <c r="O19" s="21">
        <v>366</v>
      </c>
      <c r="P19" s="10">
        <f>O19*N19/M19</f>
        <v>0.68343980343980815</v>
      </c>
      <c r="Q19" s="3"/>
      <c r="R19" s="9"/>
      <c r="S19" s="9"/>
      <c r="T19" s="109">
        <v>2001</v>
      </c>
      <c r="U19" s="4">
        <v>14.895</v>
      </c>
      <c r="V19" s="4">
        <v>15.600000000000001</v>
      </c>
    </row>
    <row r="20" spans="1:22" x14ac:dyDescent="0.25">
      <c r="A20">
        <v>2013</v>
      </c>
      <c r="B20" s="1">
        <v>41465</v>
      </c>
      <c r="C20" s="12"/>
      <c r="D20" s="12"/>
      <c r="E20" s="21"/>
      <c r="F20" s="10"/>
      <c r="G20" s="8">
        <v>2013</v>
      </c>
      <c r="H20" s="7">
        <v>268</v>
      </c>
      <c r="I20" s="7">
        <v>1.2100000000000009</v>
      </c>
      <c r="J20" s="21">
        <v>365</v>
      </c>
      <c r="K20" s="6">
        <f>J20*I20/H20</f>
        <v>1.647947761194031</v>
      </c>
      <c r="L20" s="8">
        <v>2013</v>
      </c>
      <c r="M20" s="7">
        <v>268</v>
      </c>
      <c r="N20" s="7">
        <v>3.0000000000001137E-2</v>
      </c>
      <c r="O20" s="21">
        <v>365</v>
      </c>
      <c r="P20" s="10">
        <f>O20*N20/M20</f>
        <v>4.0858208955225427E-2</v>
      </c>
      <c r="Q20" s="3"/>
      <c r="R20" s="9"/>
      <c r="S20" s="9"/>
      <c r="T20" s="109">
        <v>2002</v>
      </c>
      <c r="U20" s="4">
        <v>14.825000000000001</v>
      </c>
      <c r="V20" s="4">
        <v>15.3</v>
      </c>
    </row>
    <row r="21" spans="1:22" x14ac:dyDescent="0.25">
      <c r="A21">
        <v>2014</v>
      </c>
      <c r="B21" s="2">
        <v>41831</v>
      </c>
      <c r="C21" s="12"/>
      <c r="D21" s="12"/>
      <c r="E21" s="21"/>
      <c r="F21" s="10"/>
      <c r="G21" s="8">
        <v>2014</v>
      </c>
      <c r="H21" s="7">
        <v>366</v>
      </c>
      <c r="I21" s="7">
        <v>1.9999999999996021E-2</v>
      </c>
      <c r="J21" s="21">
        <v>365</v>
      </c>
      <c r="K21" s="10">
        <f t="shared" ref="K21:K27" si="4">J21*I21/H21</f>
        <v>1.9945355191252862E-2</v>
      </c>
      <c r="L21" s="8">
        <v>2014</v>
      </c>
      <c r="M21" s="7">
        <v>366</v>
      </c>
      <c r="N21" s="7">
        <v>9.9999999999994316E-2</v>
      </c>
      <c r="O21" s="21">
        <v>365</v>
      </c>
      <c r="P21" s="10">
        <f t="shared" ref="P21:P27" si="5">O21*N21/M21</f>
        <v>9.9726775956278491E-2</v>
      </c>
      <c r="Q21" s="3"/>
      <c r="R21" s="9"/>
      <c r="S21" s="9"/>
      <c r="T21" s="109">
        <v>2003</v>
      </c>
      <c r="U21" s="4">
        <v>14.89</v>
      </c>
      <c r="V21" s="4">
        <v>15.370000000000001</v>
      </c>
    </row>
    <row r="22" spans="1:22" x14ac:dyDescent="0.25">
      <c r="A22">
        <v>2015</v>
      </c>
      <c r="B22" s="1">
        <v>42200</v>
      </c>
      <c r="C22" s="12">
        <v>369</v>
      </c>
      <c r="D22" s="12">
        <v>0.94000000000000483</v>
      </c>
      <c r="E22" s="21">
        <v>365</v>
      </c>
      <c r="F22" s="10">
        <f t="shared" ref="F22:F25" si="6">E22*D22/C22</f>
        <v>0.92981029810298588</v>
      </c>
      <c r="G22" s="8">
        <v>2015</v>
      </c>
      <c r="H22" s="7">
        <v>369</v>
      </c>
      <c r="I22" s="7">
        <v>0.14000000000000057</v>
      </c>
      <c r="J22" s="21">
        <v>365</v>
      </c>
      <c r="K22" s="10">
        <f t="shared" si="4"/>
        <v>0.13848238482384881</v>
      </c>
      <c r="L22" s="8">
        <v>2015</v>
      </c>
      <c r="M22" s="7">
        <v>369</v>
      </c>
      <c r="N22" s="7">
        <v>0.23999999999999488</v>
      </c>
      <c r="O22" s="21">
        <v>365</v>
      </c>
      <c r="P22" s="10">
        <f t="shared" si="5"/>
        <v>0.23739837398373478</v>
      </c>
      <c r="Q22" s="3"/>
      <c r="R22" s="9"/>
      <c r="S22" s="9"/>
      <c r="T22" s="109">
        <v>2004</v>
      </c>
      <c r="U22" s="4">
        <v>14.805</v>
      </c>
      <c r="V22" s="4">
        <v>15.32</v>
      </c>
    </row>
    <row r="23" spans="1:22" x14ac:dyDescent="0.25">
      <c r="A23">
        <v>2016</v>
      </c>
      <c r="B23" s="1">
        <v>42515</v>
      </c>
      <c r="C23" s="12">
        <v>315</v>
      </c>
      <c r="D23" s="12">
        <v>2.3699999999999974</v>
      </c>
      <c r="E23" s="21">
        <v>365</v>
      </c>
      <c r="F23" s="6">
        <f t="shared" si="6"/>
        <v>2.7461904761904732</v>
      </c>
      <c r="G23" s="8">
        <v>2016</v>
      </c>
      <c r="H23" s="7">
        <v>315</v>
      </c>
      <c r="I23" s="7">
        <v>2.230000000000004</v>
      </c>
      <c r="J23" s="21">
        <v>365</v>
      </c>
      <c r="K23" s="6">
        <f t="shared" si="4"/>
        <v>2.5839682539682585</v>
      </c>
      <c r="L23" s="8">
        <v>2016</v>
      </c>
      <c r="M23" s="7">
        <v>315</v>
      </c>
      <c r="N23" s="7">
        <v>3.0000000000001137E-2</v>
      </c>
      <c r="O23" s="21">
        <v>365</v>
      </c>
      <c r="P23" s="10">
        <f t="shared" si="5"/>
        <v>3.4761904761906076E-2</v>
      </c>
      <c r="Q23" s="3"/>
      <c r="R23" s="9"/>
      <c r="S23" s="9"/>
      <c r="T23" s="109">
        <v>2005</v>
      </c>
      <c r="U23" s="4">
        <v>14.93</v>
      </c>
      <c r="V23" s="4">
        <v>15.77</v>
      </c>
    </row>
    <row r="24" spans="1:22" x14ac:dyDescent="0.25">
      <c r="A24">
        <v>2016</v>
      </c>
      <c r="B24" s="1">
        <v>42630</v>
      </c>
      <c r="C24" s="12">
        <v>115</v>
      </c>
      <c r="D24" s="12">
        <v>0.21000000000000085</v>
      </c>
      <c r="E24" s="21">
        <v>366</v>
      </c>
      <c r="F24" s="10">
        <f t="shared" si="6"/>
        <v>0.6683478260869592</v>
      </c>
      <c r="G24" s="8">
        <v>2016</v>
      </c>
      <c r="H24" s="7">
        <v>115</v>
      </c>
      <c r="I24" s="7">
        <v>0</v>
      </c>
      <c r="J24" s="28">
        <v>366</v>
      </c>
      <c r="K24" s="10">
        <f t="shared" ref="K24" si="7">J24*I24/H24</f>
        <v>0</v>
      </c>
      <c r="L24" s="8">
        <v>2016</v>
      </c>
      <c r="M24" s="7">
        <v>115</v>
      </c>
      <c r="N24" s="7">
        <v>4.9999999999997158E-2</v>
      </c>
      <c r="O24" s="21">
        <v>366</v>
      </c>
      <c r="P24" s="10">
        <f t="shared" si="5"/>
        <v>0.15913043478259964</v>
      </c>
      <c r="Q24" s="3"/>
      <c r="R24" s="9"/>
      <c r="S24" s="9"/>
      <c r="T24" s="109">
        <v>2006</v>
      </c>
      <c r="U24" s="4">
        <v>14.81</v>
      </c>
      <c r="V24" s="4">
        <v>15.5</v>
      </c>
    </row>
    <row r="25" spans="1:22" x14ac:dyDescent="0.25">
      <c r="A25">
        <v>2019</v>
      </c>
      <c r="B25" s="1">
        <v>43691</v>
      </c>
      <c r="C25">
        <v>1061</v>
      </c>
      <c r="D25">
        <v>3.8999999999999986</v>
      </c>
      <c r="E25" s="21">
        <v>365</v>
      </c>
      <c r="F25" s="6">
        <f t="shared" si="6"/>
        <v>1.3416588124410929</v>
      </c>
      <c r="G25" s="8">
        <v>2019</v>
      </c>
      <c r="H25" s="7">
        <v>1061</v>
      </c>
      <c r="I25" s="7">
        <v>4.8599999999999994</v>
      </c>
      <c r="J25" s="21">
        <v>365</v>
      </c>
      <c r="K25" s="6">
        <f t="shared" si="4"/>
        <v>1.67191328934967</v>
      </c>
      <c r="L25" s="8">
        <v>2019</v>
      </c>
      <c r="M25" s="7">
        <v>1061</v>
      </c>
      <c r="N25" s="7">
        <v>2.0400000000000063</v>
      </c>
      <c r="O25" s="21">
        <v>365</v>
      </c>
      <c r="P25" s="10">
        <f t="shared" si="5"/>
        <v>0.70179076343072788</v>
      </c>
      <c r="R25" s="7"/>
      <c r="S25" s="7"/>
      <c r="T25" s="109">
        <v>2007</v>
      </c>
      <c r="U25" s="4">
        <v>14.79</v>
      </c>
      <c r="V25" s="4">
        <v>15.41</v>
      </c>
    </row>
    <row r="26" spans="1:22" x14ac:dyDescent="0.25">
      <c r="A26">
        <v>2021</v>
      </c>
      <c r="B26" s="1">
        <v>44384</v>
      </c>
      <c r="C26">
        <v>693</v>
      </c>
      <c r="D26">
        <v>3.490000000000002</v>
      </c>
      <c r="E26" s="21">
        <v>365</v>
      </c>
      <c r="F26" s="6">
        <f>E26*D26/C26</f>
        <v>1.8381673881673894</v>
      </c>
      <c r="G26" s="8">
        <v>2021</v>
      </c>
      <c r="H26" s="7">
        <v>693</v>
      </c>
      <c r="I26" s="7">
        <v>1.4400000000000048</v>
      </c>
      <c r="J26" s="21">
        <v>365</v>
      </c>
      <c r="K26" s="10">
        <f t="shared" si="4"/>
        <v>0.75844155844156091</v>
      </c>
      <c r="L26" s="8">
        <v>2021</v>
      </c>
      <c r="M26" s="7">
        <v>693</v>
      </c>
      <c r="N26" s="7">
        <v>2.230000000000004</v>
      </c>
      <c r="O26" s="21">
        <v>365</v>
      </c>
      <c r="P26" s="6">
        <f t="shared" si="5"/>
        <v>1.1745310245310265</v>
      </c>
      <c r="T26" s="109">
        <v>2008</v>
      </c>
      <c r="U26" s="4">
        <v>14.73</v>
      </c>
      <c r="V26" s="4">
        <v>15.690000000000001</v>
      </c>
    </row>
    <row r="27" spans="1:22" x14ac:dyDescent="0.25">
      <c r="A27">
        <v>2022</v>
      </c>
      <c r="B27" s="1">
        <v>44776</v>
      </c>
      <c r="C27" s="12">
        <v>392</v>
      </c>
      <c r="D27" s="12">
        <v>0.09</v>
      </c>
      <c r="E27" s="21">
        <v>365</v>
      </c>
      <c r="F27" s="10">
        <f>E27*D27/C27</f>
        <v>8.3801020408163271E-2</v>
      </c>
      <c r="G27" s="8">
        <v>2022</v>
      </c>
      <c r="H27" s="12">
        <v>392</v>
      </c>
      <c r="I27" s="7">
        <v>3.53</v>
      </c>
      <c r="J27" s="28">
        <v>365</v>
      </c>
      <c r="K27" s="6">
        <f t="shared" si="4"/>
        <v>3.2868622448979585</v>
      </c>
      <c r="L27" s="8">
        <v>2022</v>
      </c>
      <c r="M27" s="7">
        <v>392</v>
      </c>
      <c r="N27" s="7">
        <v>0.77</v>
      </c>
      <c r="O27" s="28">
        <v>365</v>
      </c>
      <c r="P27" s="10">
        <f t="shared" si="5"/>
        <v>0.71696428571428572</v>
      </c>
      <c r="T27" s="109">
        <v>2009</v>
      </c>
      <c r="U27" s="4">
        <v>14.705</v>
      </c>
      <c r="V27" s="4">
        <v>15.45</v>
      </c>
    </row>
    <row r="28" spans="1:22" x14ac:dyDescent="0.25">
      <c r="B28" s="48"/>
      <c r="C28" s="12"/>
      <c r="D28" s="12"/>
      <c r="E28" s="21"/>
      <c r="F28" s="10"/>
      <c r="G28" s="8"/>
      <c r="H28" s="12"/>
      <c r="I28" s="7"/>
      <c r="J28" s="28"/>
      <c r="K28" s="10"/>
      <c r="L28" s="8"/>
      <c r="M28" s="7"/>
      <c r="N28" s="7"/>
      <c r="O28" s="28"/>
      <c r="P28" s="10"/>
      <c r="T28" s="109">
        <v>2010</v>
      </c>
      <c r="U28" s="4">
        <v>14.365</v>
      </c>
      <c r="V28" s="4">
        <v>15.600000000000001</v>
      </c>
    </row>
    <row r="29" spans="1:22" x14ac:dyDescent="0.25">
      <c r="E29" s="3" t="s">
        <v>23</v>
      </c>
      <c r="F29" s="5">
        <f>AVERAGE(F13:F26)</f>
        <v>0.89970597861383683</v>
      </c>
      <c r="G29" s="4"/>
      <c r="H29" s="4"/>
      <c r="I29" s="4"/>
      <c r="J29" s="4"/>
      <c r="K29" s="5">
        <f>AVERAGE(K13:K26)</f>
        <v>0.98007887146246253</v>
      </c>
      <c r="L29" s="4"/>
      <c r="M29" s="4"/>
      <c r="N29" s="4"/>
      <c r="O29" s="4"/>
      <c r="P29" s="5">
        <f t="shared" ref="P29" si="8">AVERAGE(P13:P26)</f>
        <v>0.6955813781602701</v>
      </c>
      <c r="T29" s="109">
        <v>2011</v>
      </c>
      <c r="U29" s="4">
        <v>14.405000000000001</v>
      </c>
      <c r="V29" s="4">
        <v>15.49</v>
      </c>
    </row>
    <row r="30" spans="1:22" x14ac:dyDescent="0.25"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T30" s="109">
        <v>2012</v>
      </c>
      <c r="U30" s="4">
        <v>14.625</v>
      </c>
      <c r="V30" s="4">
        <v>15.52</v>
      </c>
    </row>
    <row r="31" spans="1:22" x14ac:dyDescent="0.25">
      <c r="E31" s="3" t="s">
        <v>27</v>
      </c>
      <c r="F31" s="5">
        <f>MAX(F13:F26)</f>
        <v>2.7461904761904732</v>
      </c>
      <c r="G31" s="4"/>
      <c r="H31" s="4"/>
      <c r="I31" s="4"/>
      <c r="J31" s="4"/>
      <c r="K31" s="5">
        <f t="shared" ref="K31:P31" si="9">MAX(K13:K26)</f>
        <v>2.5839682539682585</v>
      </c>
      <c r="L31" s="4"/>
      <c r="M31" s="4"/>
      <c r="N31" s="4"/>
      <c r="O31" s="4"/>
      <c r="P31" s="5">
        <f t="shared" si="9"/>
        <v>1.5977358490566056</v>
      </c>
      <c r="T31" s="109">
        <v>2013</v>
      </c>
      <c r="U31" s="4">
        <v>14.755000000000001</v>
      </c>
      <c r="V31" s="4">
        <v>15.370000000000001</v>
      </c>
    </row>
    <row r="32" spans="1:22" x14ac:dyDescent="0.25">
      <c r="T32" s="109">
        <v>2014</v>
      </c>
      <c r="U32" s="4">
        <v>14.52</v>
      </c>
      <c r="V32" s="4">
        <v>15.45</v>
      </c>
    </row>
    <row r="33" spans="1:22" x14ac:dyDescent="0.25">
      <c r="D33" s="3" t="s">
        <v>13</v>
      </c>
      <c r="H33" s="3" t="s">
        <v>14</v>
      </c>
      <c r="O33" s="3" t="s">
        <v>15</v>
      </c>
      <c r="T33" s="109">
        <v>2015</v>
      </c>
      <c r="U33" s="4">
        <v>14.55</v>
      </c>
      <c r="V33" s="4">
        <v>15.18</v>
      </c>
    </row>
    <row r="34" spans="1:22" x14ac:dyDescent="0.25">
      <c r="F34" t="s">
        <v>50</v>
      </c>
      <c r="L34" t="s">
        <v>50</v>
      </c>
      <c r="R34" t="s">
        <v>50</v>
      </c>
      <c r="T34" s="109">
        <v>2016</v>
      </c>
      <c r="U34" s="4">
        <v>14.785</v>
      </c>
      <c r="V34" s="4">
        <v>15.600000000000001</v>
      </c>
    </row>
    <row r="35" spans="1:22" x14ac:dyDescent="0.25">
      <c r="A35" s="3">
        <v>1958</v>
      </c>
      <c r="B35" s="1">
        <v>21458</v>
      </c>
      <c r="D35">
        <v>0</v>
      </c>
      <c r="F35" s="3">
        <v>0</v>
      </c>
      <c r="G35" s="3">
        <v>1958</v>
      </c>
      <c r="H35" s="1">
        <v>21458</v>
      </c>
      <c r="J35">
        <v>0</v>
      </c>
      <c r="L35" s="3">
        <v>0</v>
      </c>
      <c r="M35" s="3">
        <v>1958</v>
      </c>
      <c r="N35" s="1">
        <v>21458</v>
      </c>
      <c r="P35">
        <v>0</v>
      </c>
      <c r="R35" s="3">
        <v>0</v>
      </c>
      <c r="T35" s="109">
        <v>2017</v>
      </c>
      <c r="U35" s="4">
        <v>14.78</v>
      </c>
      <c r="V35" s="4">
        <v>15.45</v>
      </c>
    </row>
    <row r="36" spans="1:22" x14ac:dyDescent="0.25">
      <c r="A36" s="3">
        <v>1960</v>
      </c>
      <c r="B36" s="1">
        <v>22211</v>
      </c>
      <c r="D36" s="9">
        <v>4.7000000000000171</v>
      </c>
      <c r="F36" s="5">
        <f>F35+D36</f>
        <v>4.7000000000000171</v>
      </c>
      <c r="G36" s="24">
        <v>1960</v>
      </c>
      <c r="H36" s="1">
        <v>22211</v>
      </c>
      <c r="J36" s="4">
        <v>7</v>
      </c>
      <c r="L36" s="5">
        <f>L35+J36</f>
        <v>7</v>
      </c>
      <c r="M36" s="3">
        <v>1960</v>
      </c>
      <c r="N36" s="1">
        <v>22211</v>
      </c>
      <c r="P36" s="4">
        <v>7.6999999999999602</v>
      </c>
      <c r="R36" s="5">
        <f>R35+P36</f>
        <v>7.6999999999999602</v>
      </c>
      <c r="T36" s="109">
        <v>2018</v>
      </c>
      <c r="U36" s="4">
        <v>14.64</v>
      </c>
      <c r="V36" s="4">
        <v>15.2</v>
      </c>
    </row>
    <row r="37" spans="1:22" x14ac:dyDescent="0.25">
      <c r="A37" s="3">
        <v>1965</v>
      </c>
      <c r="B37" s="1">
        <v>23952</v>
      </c>
      <c r="D37" s="9">
        <v>25.099999999999994</v>
      </c>
      <c r="F37" s="5">
        <f t="shared" ref="F37:F55" si="10">F36+D37</f>
        <v>29.800000000000011</v>
      </c>
      <c r="G37" s="24">
        <v>1965</v>
      </c>
      <c r="H37" s="1">
        <v>23952</v>
      </c>
      <c r="J37" s="4">
        <v>20.199999999999989</v>
      </c>
      <c r="L37" s="5">
        <f t="shared" ref="L37:L57" si="11">L36+J37</f>
        <v>27.199999999999989</v>
      </c>
      <c r="M37" s="3">
        <v>1965</v>
      </c>
      <c r="N37" s="1">
        <v>23952</v>
      </c>
      <c r="P37" s="4">
        <v>19.300000000000011</v>
      </c>
      <c r="R37" s="5">
        <f t="shared" ref="R37:R57" si="12">R36+P37</f>
        <v>26.999999999999972</v>
      </c>
    </row>
    <row r="38" spans="1:22" x14ac:dyDescent="0.25">
      <c r="A38" s="3">
        <v>1970</v>
      </c>
      <c r="B38" s="1">
        <v>25766</v>
      </c>
      <c r="D38" s="9">
        <v>17.260000000000005</v>
      </c>
      <c r="F38" s="5">
        <f t="shared" si="10"/>
        <v>47.060000000000016</v>
      </c>
      <c r="G38" s="24">
        <v>1970</v>
      </c>
      <c r="H38" s="1">
        <v>25766</v>
      </c>
      <c r="J38" s="4">
        <v>17.610000000000014</v>
      </c>
      <c r="L38" s="5">
        <f t="shared" si="11"/>
        <v>44.81</v>
      </c>
      <c r="M38" s="3">
        <v>1970</v>
      </c>
      <c r="N38" s="1">
        <v>25766</v>
      </c>
      <c r="P38" s="4">
        <v>20.169999999999987</v>
      </c>
      <c r="R38" s="5">
        <f t="shared" si="12"/>
        <v>47.169999999999959</v>
      </c>
    </row>
    <row r="39" spans="1:22" x14ac:dyDescent="0.25">
      <c r="A39" s="3">
        <v>1974</v>
      </c>
      <c r="B39" s="1">
        <v>27226</v>
      </c>
      <c r="D39" s="9">
        <v>6.7399999999999949</v>
      </c>
      <c r="F39" s="5">
        <f t="shared" si="10"/>
        <v>53.800000000000011</v>
      </c>
      <c r="G39" s="24">
        <v>1974</v>
      </c>
      <c r="H39" s="1">
        <v>27226</v>
      </c>
      <c r="J39" s="4">
        <v>8.1899999999999977</v>
      </c>
      <c r="L39" s="5">
        <f t="shared" si="11"/>
        <v>53</v>
      </c>
      <c r="M39" s="3">
        <v>1974</v>
      </c>
      <c r="N39" s="1">
        <v>27226</v>
      </c>
      <c r="P39" s="4">
        <v>10.830000000000013</v>
      </c>
      <c r="R39" s="5">
        <f t="shared" si="12"/>
        <v>57.999999999999972</v>
      </c>
    </row>
    <row r="40" spans="1:22" x14ac:dyDescent="0.25">
      <c r="A40" s="3">
        <v>1980</v>
      </c>
      <c r="B40" s="1">
        <v>29552</v>
      </c>
      <c r="D40" s="9">
        <v>4.1999999999999886</v>
      </c>
      <c r="F40" s="5">
        <f t="shared" si="10"/>
        <v>58</v>
      </c>
      <c r="G40" s="24">
        <v>1980</v>
      </c>
      <c r="H40" s="1">
        <v>29552</v>
      </c>
      <c r="J40" s="4">
        <v>11.499999999999986</v>
      </c>
      <c r="L40" s="5">
        <f t="shared" si="11"/>
        <v>64.499999999999986</v>
      </c>
      <c r="M40" s="3">
        <v>1980</v>
      </c>
      <c r="N40" s="1">
        <v>29552</v>
      </c>
      <c r="P40" s="4">
        <v>9.6800000000000068</v>
      </c>
      <c r="R40" s="5">
        <f t="shared" si="12"/>
        <v>67.679999999999978</v>
      </c>
    </row>
    <row r="41" spans="1:22" x14ac:dyDescent="0.25">
      <c r="A41" s="3">
        <v>1986</v>
      </c>
      <c r="B41" s="1">
        <v>31712</v>
      </c>
      <c r="D41" s="9">
        <v>8.6000000000000085</v>
      </c>
      <c r="F41" s="5">
        <f t="shared" si="10"/>
        <v>66.600000000000009</v>
      </c>
      <c r="G41" s="24">
        <v>1986</v>
      </c>
      <c r="H41" s="1">
        <v>31712</v>
      </c>
      <c r="J41" s="4">
        <v>5.2000000000000028</v>
      </c>
      <c r="L41" s="5">
        <f t="shared" si="11"/>
        <v>69.699999999999989</v>
      </c>
      <c r="M41" s="3">
        <v>1986</v>
      </c>
      <c r="N41" s="1">
        <v>31712</v>
      </c>
      <c r="P41" s="4">
        <v>7.3999999999999915</v>
      </c>
      <c r="R41" s="5">
        <f t="shared" si="12"/>
        <v>75.07999999999997</v>
      </c>
    </row>
    <row r="42" spans="1:22" x14ac:dyDescent="0.25">
      <c r="A42" s="3">
        <v>1989</v>
      </c>
      <c r="B42" s="1">
        <v>32649</v>
      </c>
      <c r="D42" s="9">
        <v>1.5499999999999972</v>
      </c>
      <c r="F42" s="5">
        <f t="shared" si="10"/>
        <v>68.150000000000006</v>
      </c>
      <c r="G42" s="24">
        <v>1989</v>
      </c>
      <c r="H42" s="1">
        <v>32649</v>
      </c>
      <c r="J42" s="4">
        <v>3.1500000000000057</v>
      </c>
      <c r="L42" s="5">
        <f t="shared" si="11"/>
        <v>72.849999999999994</v>
      </c>
      <c r="M42" s="3">
        <v>1989</v>
      </c>
      <c r="N42" s="1">
        <v>32649</v>
      </c>
      <c r="P42" s="4">
        <v>2</v>
      </c>
      <c r="R42" s="5">
        <f t="shared" si="12"/>
        <v>77.07999999999997</v>
      </c>
    </row>
    <row r="43" spans="1:22" x14ac:dyDescent="0.25">
      <c r="A43" s="3">
        <v>1994</v>
      </c>
      <c r="B43" s="1">
        <v>34631</v>
      </c>
      <c r="D43" s="9">
        <v>3.3599999999999994</v>
      </c>
      <c r="F43" s="5">
        <f t="shared" si="10"/>
        <v>71.510000000000005</v>
      </c>
      <c r="G43" s="24">
        <v>1994</v>
      </c>
      <c r="H43" s="1">
        <v>34631</v>
      </c>
      <c r="J43" s="4">
        <v>6.25</v>
      </c>
      <c r="L43" s="5">
        <f t="shared" si="11"/>
        <v>79.099999999999994</v>
      </c>
      <c r="M43" s="3">
        <v>1994</v>
      </c>
      <c r="N43" s="1">
        <v>34631</v>
      </c>
      <c r="P43" s="4">
        <v>7.75</v>
      </c>
      <c r="R43" s="5">
        <f t="shared" si="12"/>
        <v>84.82999999999997</v>
      </c>
    </row>
    <row r="44" spans="1:22" x14ac:dyDescent="0.25">
      <c r="A44" s="3">
        <v>2003</v>
      </c>
      <c r="B44" s="1">
        <v>37825</v>
      </c>
      <c r="D44" s="9">
        <v>1.9300000000000068</v>
      </c>
      <c r="F44" s="5">
        <f t="shared" si="10"/>
        <v>73.440000000000012</v>
      </c>
      <c r="G44" s="24">
        <v>2003</v>
      </c>
      <c r="H44" s="1">
        <v>37825</v>
      </c>
      <c r="J44" s="4">
        <v>10.449999999999989</v>
      </c>
      <c r="L44" s="5">
        <f t="shared" si="11"/>
        <v>89.549999999999983</v>
      </c>
      <c r="M44" s="3">
        <v>2003</v>
      </c>
      <c r="N44" s="1">
        <v>37825</v>
      </c>
      <c r="P44" s="4">
        <v>10.579999999999998</v>
      </c>
      <c r="R44" s="5">
        <f t="shared" si="12"/>
        <v>95.409999999999968</v>
      </c>
    </row>
    <row r="45" spans="1:22" x14ac:dyDescent="0.25">
      <c r="A45" s="3">
        <v>2004</v>
      </c>
      <c r="B45" s="1">
        <v>38195</v>
      </c>
      <c r="D45" s="9">
        <v>0.34999999999999432</v>
      </c>
      <c r="F45" s="5">
        <f t="shared" si="10"/>
        <v>73.790000000000006</v>
      </c>
      <c r="G45" s="24">
        <v>2004</v>
      </c>
      <c r="H45" s="1">
        <v>38195</v>
      </c>
      <c r="J45" s="4">
        <v>1.1000000000000085</v>
      </c>
      <c r="L45" s="5">
        <f t="shared" si="11"/>
        <v>90.649999999999991</v>
      </c>
      <c r="M45" s="3">
        <v>2004</v>
      </c>
      <c r="N45" s="1">
        <v>38195</v>
      </c>
      <c r="P45" s="4">
        <v>1.5100000000000051</v>
      </c>
      <c r="R45" s="5">
        <f t="shared" si="12"/>
        <v>96.919999999999973</v>
      </c>
    </row>
    <row r="46" spans="1:22" x14ac:dyDescent="0.25">
      <c r="A46" s="3">
        <v>2006</v>
      </c>
      <c r="B46" s="1">
        <v>38990</v>
      </c>
      <c r="D46" s="9">
        <v>0.34000000000000341</v>
      </c>
      <c r="F46" s="5">
        <f t="shared" si="10"/>
        <v>74.13000000000001</v>
      </c>
      <c r="G46" s="24">
        <v>2006</v>
      </c>
      <c r="H46" s="1">
        <v>38990</v>
      </c>
      <c r="J46" s="4">
        <v>3.7599999999999909</v>
      </c>
      <c r="L46" s="5">
        <f t="shared" si="11"/>
        <v>94.409999999999982</v>
      </c>
      <c r="M46" s="3">
        <v>2006</v>
      </c>
      <c r="N46" s="1">
        <v>38990</v>
      </c>
      <c r="P46" s="4">
        <v>3.480000000000004</v>
      </c>
      <c r="R46" s="5">
        <f t="shared" si="12"/>
        <v>100.39999999999998</v>
      </c>
    </row>
    <row r="47" spans="1:22" x14ac:dyDescent="0.25">
      <c r="A47" s="3">
        <v>2009</v>
      </c>
      <c r="B47" s="1">
        <v>40013</v>
      </c>
      <c r="D47" s="9">
        <v>0.40000000000000568</v>
      </c>
      <c r="F47" s="5">
        <f t="shared" si="10"/>
        <v>74.530000000000015</v>
      </c>
      <c r="G47" s="24">
        <v>2009</v>
      </c>
      <c r="H47" s="1">
        <v>40013</v>
      </c>
      <c r="J47" s="4">
        <v>2.5900000000000034</v>
      </c>
      <c r="L47" s="5">
        <f t="shared" si="11"/>
        <v>96.999999999999986</v>
      </c>
      <c r="M47" s="3">
        <v>2009</v>
      </c>
      <c r="N47" s="1">
        <v>40013</v>
      </c>
      <c r="P47" s="4">
        <v>1.5</v>
      </c>
      <c r="R47" s="5">
        <f t="shared" si="12"/>
        <v>101.89999999999998</v>
      </c>
    </row>
    <row r="48" spans="1:22" x14ac:dyDescent="0.25">
      <c r="A48" s="3">
        <v>2010</v>
      </c>
      <c r="B48" s="1">
        <v>40383</v>
      </c>
      <c r="D48" s="9">
        <v>6.0000000000002274E-2</v>
      </c>
      <c r="F48" s="5">
        <f t="shared" si="10"/>
        <v>74.590000000000018</v>
      </c>
      <c r="G48" s="24">
        <v>2010</v>
      </c>
      <c r="H48" s="1">
        <v>40383</v>
      </c>
      <c r="J48" s="4">
        <v>0.24000000000000909</v>
      </c>
      <c r="L48" s="5">
        <f t="shared" si="11"/>
        <v>97.24</v>
      </c>
      <c r="M48" s="3">
        <v>2010</v>
      </c>
      <c r="N48" s="1">
        <v>40383</v>
      </c>
      <c r="P48" s="4">
        <v>1.0899999999999892</v>
      </c>
      <c r="R48" s="5">
        <f t="shared" si="12"/>
        <v>102.98999999999997</v>
      </c>
    </row>
    <row r="49" spans="1:18" x14ac:dyDescent="0.25">
      <c r="A49" s="3">
        <v>2012</v>
      </c>
      <c r="B49" s="1">
        <v>41197</v>
      </c>
      <c r="D49" s="12">
        <v>3.2199999999999918</v>
      </c>
      <c r="F49" s="5">
        <f t="shared" si="10"/>
        <v>77.81</v>
      </c>
      <c r="G49" s="24">
        <v>2012</v>
      </c>
      <c r="H49" s="1">
        <v>41197</v>
      </c>
      <c r="J49" s="7">
        <v>1.6699999999999946</v>
      </c>
      <c r="L49" s="5">
        <f t="shared" si="11"/>
        <v>98.91</v>
      </c>
      <c r="M49" s="3">
        <v>2012</v>
      </c>
      <c r="N49" s="1">
        <v>41197</v>
      </c>
      <c r="P49" s="7">
        <v>1.5200000000000102</v>
      </c>
      <c r="R49" s="5">
        <f t="shared" si="12"/>
        <v>104.50999999999998</v>
      </c>
    </row>
    <row r="50" spans="1:18" x14ac:dyDescent="0.25">
      <c r="A50" s="3">
        <v>2015</v>
      </c>
      <c r="B50" s="1">
        <v>42200</v>
      </c>
      <c r="D50" s="12">
        <v>0.94000000000000483</v>
      </c>
      <c r="F50" s="5">
        <f t="shared" si="10"/>
        <v>78.75</v>
      </c>
      <c r="G50" s="24">
        <v>2013</v>
      </c>
      <c r="H50" s="1">
        <v>41465</v>
      </c>
      <c r="J50" s="7">
        <v>1.2100000000000009</v>
      </c>
      <c r="L50" s="5">
        <f t="shared" si="11"/>
        <v>100.12</v>
      </c>
      <c r="M50" s="3">
        <v>2013</v>
      </c>
      <c r="N50" s="1">
        <v>41465</v>
      </c>
      <c r="P50" s="7">
        <v>3.0000000000001137E-2</v>
      </c>
      <c r="R50" s="5">
        <f t="shared" si="12"/>
        <v>104.53999999999998</v>
      </c>
    </row>
    <row r="51" spans="1:18" x14ac:dyDescent="0.25">
      <c r="A51" s="3">
        <v>2016</v>
      </c>
      <c r="B51" s="1">
        <v>42515</v>
      </c>
      <c r="D51" s="12">
        <v>2.3699999999999974</v>
      </c>
      <c r="F51" s="5">
        <f t="shared" si="10"/>
        <v>81.12</v>
      </c>
      <c r="G51" s="24">
        <v>2014</v>
      </c>
      <c r="H51" s="2">
        <v>41831</v>
      </c>
      <c r="J51" s="7">
        <v>1.9999999999996021E-2</v>
      </c>
      <c r="L51" s="5">
        <f t="shared" si="11"/>
        <v>100.14</v>
      </c>
      <c r="M51" s="3">
        <v>2014</v>
      </c>
      <c r="N51" s="2">
        <v>41831</v>
      </c>
      <c r="P51" s="7">
        <v>9.9999999999994316E-2</v>
      </c>
      <c r="R51" s="5">
        <f t="shared" si="12"/>
        <v>104.63999999999997</v>
      </c>
    </row>
    <row r="52" spans="1:18" x14ac:dyDescent="0.25">
      <c r="A52" s="3">
        <v>2016</v>
      </c>
      <c r="B52" s="1">
        <v>42630</v>
      </c>
      <c r="D52" s="12">
        <v>0.21000000000000085</v>
      </c>
      <c r="F52" s="5">
        <f t="shared" si="10"/>
        <v>81.330000000000013</v>
      </c>
      <c r="G52" s="24">
        <v>2015</v>
      </c>
      <c r="H52" s="1">
        <v>42200</v>
      </c>
      <c r="J52" s="7">
        <v>0.14000000000000057</v>
      </c>
      <c r="L52" s="5">
        <f t="shared" si="11"/>
        <v>100.28</v>
      </c>
      <c r="M52" s="3">
        <v>2015</v>
      </c>
      <c r="N52" s="1">
        <v>42200</v>
      </c>
      <c r="P52" s="7">
        <v>0.23999999999999488</v>
      </c>
      <c r="R52" s="5">
        <f t="shared" si="12"/>
        <v>104.87999999999997</v>
      </c>
    </row>
    <row r="53" spans="1:18" x14ac:dyDescent="0.25">
      <c r="A53" s="3">
        <v>2019</v>
      </c>
      <c r="B53" s="1">
        <v>43691</v>
      </c>
      <c r="D53">
        <v>3.8999999999999986</v>
      </c>
      <c r="F53" s="5">
        <f t="shared" si="10"/>
        <v>85.230000000000018</v>
      </c>
      <c r="G53" s="24">
        <v>2016</v>
      </c>
      <c r="H53" s="1">
        <v>42515</v>
      </c>
      <c r="J53" s="7">
        <v>2.230000000000004</v>
      </c>
      <c r="L53" s="5">
        <f t="shared" si="11"/>
        <v>102.51</v>
      </c>
      <c r="M53" s="3">
        <v>2016</v>
      </c>
      <c r="N53" s="1">
        <v>42515</v>
      </c>
      <c r="P53" s="7">
        <v>3.0000000000001137E-2</v>
      </c>
      <c r="R53" s="5">
        <f t="shared" si="12"/>
        <v>104.90999999999997</v>
      </c>
    </row>
    <row r="54" spans="1:18" x14ac:dyDescent="0.25">
      <c r="A54" s="3">
        <v>2021</v>
      </c>
      <c r="B54" s="1">
        <v>44384</v>
      </c>
      <c r="D54">
        <v>3.490000000000002</v>
      </c>
      <c r="F54" s="5">
        <f t="shared" si="10"/>
        <v>88.720000000000027</v>
      </c>
      <c r="G54" s="24">
        <v>2016</v>
      </c>
      <c r="H54" s="1">
        <v>42630</v>
      </c>
      <c r="J54" s="7">
        <v>0</v>
      </c>
      <c r="L54" s="5">
        <f t="shared" si="11"/>
        <v>102.51</v>
      </c>
      <c r="M54" s="3">
        <v>2016</v>
      </c>
      <c r="N54" s="1">
        <v>42630</v>
      </c>
      <c r="P54" s="7">
        <v>4.9999999999997158E-2</v>
      </c>
      <c r="R54" s="5">
        <f t="shared" si="12"/>
        <v>104.95999999999997</v>
      </c>
    </row>
    <row r="55" spans="1:18" x14ac:dyDescent="0.25">
      <c r="A55" s="3">
        <v>2022</v>
      </c>
      <c r="B55" s="1">
        <v>44776</v>
      </c>
      <c r="D55" s="12">
        <v>0.09</v>
      </c>
      <c r="F55" s="5">
        <f t="shared" si="10"/>
        <v>88.810000000000031</v>
      </c>
      <c r="G55" s="24">
        <v>2019</v>
      </c>
      <c r="H55" s="1">
        <v>43691</v>
      </c>
      <c r="J55" s="7">
        <v>4.8599999999999994</v>
      </c>
      <c r="L55" s="5">
        <f t="shared" si="11"/>
        <v>107.37</v>
      </c>
      <c r="M55" s="3">
        <v>2019</v>
      </c>
      <c r="N55" s="1">
        <v>43691</v>
      </c>
      <c r="P55" s="7">
        <v>2.0400000000000063</v>
      </c>
      <c r="R55" s="5">
        <f t="shared" si="12"/>
        <v>106.99999999999997</v>
      </c>
    </row>
    <row r="56" spans="1:18" x14ac:dyDescent="0.25">
      <c r="G56" s="24">
        <v>2021</v>
      </c>
      <c r="H56" s="1">
        <v>44384</v>
      </c>
      <c r="J56" s="7">
        <v>1.4400000000000048</v>
      </c>
      <c r="L56" s="5">
        <f t="shared" si="11"/>
        <v>108.81</v>
      </c>
      <c r="M56" s="3">
        <v>2021</v>
      </c>
      <c r="N56" s="1">
        <v>44384</v>
      </c>
      <c r="P56" s="7">
        <v>2.230000000000004</v>
      </c>
      <c r="R56" s="5">
        <f t="shared" si="12"/>
        <v>109.22999999999998</v>
      </c>
    </row>
    <row r="57" spans="1:18" x14ac:dyDescent="0.25">
      <c r="G57" s="24">
        <v>2022</v>
      </c>
      <c r="H57" s="1">
        <v>44776</v>
      </c>
      <c r="J57" s="7">
        <v>3.53</v>
      </c>
      <c r="L57" s="5">
        <f t="shared" si="11"/>
        <v>112.34</v>
      </c>
      <c r="M57" s="3">
        <v>2022</v>
      </c>
      <c r="N57" s="1">
        <v>44776</v>
      </c>
      <c r="P57" s="7">
        <v>0.77</v>
      </c>
      <c r="R57" s="5">
        <f t="shared" si="12"/>
        <v>109.99999999999997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F1" zoomScaleNormal="100" workbookViewId="0">
      <selection activeCell="R27" sqref="R27"/>
    </sheetView>
  </sheetViews>
  <sheetFormatPr defaultRowHeight="15" x14ac:dyDescent="0.25"/>
  <cols>
    <col min="2" max="2" width="11.85546875" customWidth="1"/>
    <col min="3" max="3" width="9.140625" customWidth="1"/>
    <col min="5" max="5" width="11.28515625" customWidth="1"/>
    <col min="7" max="7" width="11" customWidth="1"/>
    <col min="8" max="8" width="11.140625" customWidth="1"/>
    <col min="12" max="12" width="12.42578125" customWidth="1"/>
    <col min="13" max="13" width="10.5703125" customWidth="1"/>
    <col min="14" max="14" width="11.140625" customWidth="1"/>
  </cols>
  <sheetData>
    <row r="1" spans="1:28" x14ac:dyDescent="0.25">
      <c r="B1" s="3" t="s">
        <v>16</v>
      </c>
    </row>
    <row r="2" spans="1:28" x14ac:dyDescent="0.25">
      <c r="C2" s="3" t="s">
        <v>4</v>
      </c>
      <c r="H2" s="3" t="s">
        <v>17</v>
      </c>
      <c r="M2" s="3" t="s">
        <v>36</v>
      </c>
      <c r="R2" s="8"/>
      <c r="S2" s="7"/>
      <c r="T2" s="7"/>
      <c r="U2" s="7"/>
      <c r="Z2" t="s">
        <v>47</v>
      </c>
      <c r="AA2" t="s">
        <v>48</v>
      </c>
    </row>
    <row r="3" spans="1:28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  <c r="Z3" s="109">
        <v>1986</v>
      </c>
      <c r="AA3" s="4">
        <v>14.350000000000001</v>
      </c>
      <c r="AB3" s="4">
        <v>15.34</v>
      </c>
    </row>
    <row r="4" spans="1:28" x14ac:dyDescent="0.25">
      <c r="A4">
        <v>1977</v>
      </c>
      <c r="B4" s="1">
        <v>28460</v>
      </c>
      <c r="C4" s="3"/>
      <c r="H4" s="3"/>
      <c r="M4" s="3"/>
      <c r="R4" s="8"/>
      <c r="S4" s="7"/>
      <c r="T4" s="7"/>
      <c r="U4" s="7"/>
      <c r="Z4" s="109">
        <v>1987</v>
      </c>
      <c r="AA4" s="4">
        <v>14.45</v>
      </c>
      <c r="AB4" s="4">
        <v>15.379999999999999</v>
      </c>
    </row>
    <row r="5" spans="1:28" x14ac:dyDescent="0.25">
      <c r="A5">
        <v>1980</v>
      </c>
      <c r="B5" s="1">
        <v>29530</v>
      </c>
      <c r="C5" s="50">
        <f>B5-B4</f>
        <v>1070</v>
      </c>
      <c r="D5" s="4">
        <v>0.69999999999999574</v>
      </c>
      <c r="E5">
        <v>366</v>
      </c>
      <c r="F5" s="10">
        <f>E5*D5/C5</f>
        <v>0.23943925233644717</v>
      </c>
      <c r="G5" s="3">
        <v>1980</v>
      </c>
      <c r="H5" s="23">
        <v>1070</v>
      </c>
      <c r="I5" s="4">
        <v>1.389999999999997</v>
      </c>
      <c r="J5">
        <v>366</v>
      </c>
      <c r="K5" s="10">
        <f t="shared" ref="K5:K13" si="0">J5*I5/H5</f>
        <v>0.47545794392523266</v>
      </c>
      <c r="L5" s="3">
        <v>1980</v>
      </c>
      <c r="M5" s="29">
        <v>1070</v>
      </c>
      <c r="N5" s="7">
        <v>3.28</v>
      </c>
      <c r="O5" s="7">
        <v>366</v>
      </c>
      <c r="P5" s="6">
        <f>O5*N5/M5</f>
        <v>1.1219439252336449</v>
      </c>
      <c r="R5" s="8"/>
      <c r="S5" s="7"/>
      <c r="T5" s="7"/>
      <c r="U5" s="7"/>
      <c r="Z5" s="109">
        <v>1988</v>
      </c>
      <c r="AA5" s="4">
        <v>14.605</v>
      </c>
      <c r="AB5" s="4">
        <v>15.59</v>
      </c>
    </row>
    <row r="6" spans="1:28" x14ac:dyDescent="0.25">
      <c r="A6">
        <v>1986</v>
      </c>
      <c r="B6" s="1">
        <v>31731</v>
      </c>
      <c r="C6" s="50">
        <v>2201</v>
      </c>
      <c r="D6" s="4">
        <v>3.6000000000000085</v>
      </c>
      <c r="E6">
        <v>365</v>
      </c>
      <c r="F6" s="10">
        <f t="shared" ref="F6:F13" si="1">E6*D6/C6</f>
        <v>0.59700136301681195</v>
      </c>
      <c r="G6" s="3">
        <v>1986</v>
      </c>
      <c r="H6" s="23">
        <v>2201</v>
      </c>
      <c r="I6" s="4">
        <v>2.5</v>
      </c>
      <c r="J6">
        <v>365</v>
      </c>
      <c r="K6" s="10">
        <f t="shared" si="0"/>
        <v>0.41458427987278512</v>
      </c>
      <c r="L6" s="3">
        <v>1986</v>
      </c>
      <c r="M6" s="29">
        <v>2201</v>
      </c>
      <c r="N6" s="7">
        <v>0.99</v>
      </c>
      <c r="O6" s="7">
        <v>365</v>
      </c>
      <c r="P6" s="10">
        <f t="shared" ref="P6:P14" si="2">O6*N6/M6</f>
        <v>0.16417537482962291</v>
      </c>
      <c r="R6" s="8"/>
      <c r="S6" s="7"/>
      <c r="T6" s="7"/>
      <c r="U6" s="7"/>
      <c r="Z6" s="109">
        <v>1989</v>
      </c>
      <c r="AA6" s="4">
        <v>14.335000000000001</v>
      </c>
      <c r="AB6" s="4">
        <v>15.23</v>
      </c>
    </row>
    <row r="7" spans="1:28" x14ac:dyDescent="0.25">
      <c r="A7">
        <v>1988</v>
      </c>
      <c r="B7" s="1">
        <v>32399</v>
      </c>
      <c r="C7" s="50">
        <v>668</v>
      </c>
      <c r="D7" s="4">
        <v>2.9999999999999964</v>
      </c>
      <c r="E7">
        <v>366</v>
      </c>
      <c r="F7" s="6">
        <f t="shared" si="1"/>
        <v>1.6437125748502974</v>
      </c>
      <c r="G7" s="3">
        <v>1988</v>
      </c>
      <c r="H7" s="23">
        <v>668</v>
      </c>
      <c r="I7" s="4">
        <v>6.0000000000002274E-2</v>
      </c>
      <c r="J7">
        <v>366</v>
      </c>
      <c r="K7" s="10">
        <f t="shared" si="0"/>
        <v>3.2874251497007234E-2</v>
      </c>
      <c r="L7" s="3">
        <v>1988</v>
      </c>
      <c r="M7" s="29">
        <v>668</v>
      </c>
      <c r="N7" s="7">
        <v>0.28000000000000003</v>
      </c>
      <c r="O7" s="7">
        <v>366</v>
      </c>
      <c r="P7" s="10">
        <f t="shared" si="2"/>
        <v>0.15341317365269461</v>
      </c>
      <c r="R7" s="8"/>
      <c r="S7" s="7"/>
      <c r="T7" s="7"/>
      <c r="U7" s="7"/>
      <c r="Z7" s="109">
        <v>1990</v>
      </c>
      <c r="AA7" s="4">
        <v>14.795</v>
      </c>
      <c r="AB7" s="4">
        <v>15.31</v>
      </c>
    </row>
    <row r="8" spans="1:28" x14ac:dyDescent="0.25">
      <c r="A8">
        <v>1990</v>
      </c>
      <c r="B8" s="1">
        <v>32933</v>
      </c>
      <c r="C8" s="50"/>
      <c r="D8" s="4"/>
      <c r="F8" s="10"/>
      <c r="G8" s="3">
        <v>1990</v>
      </c>
      <c r="H8" s="23">
        <v>534</v>
      </c>
      <c r="I8" s="4">
        <v>0.85000000000000142</v>
      </c>
      <c r="J8">
        <v>365</v>
      </c>
      <c r="K8" s="10">
        <f t="shared" si="0"/>
        <v>0.58099250936329683</v>
      </c>
      <c r="L8" s="3">
        <v>1990</v>
      </c>
      <c r="M8" s="29">
        <v>534</v>
      </c>
      <c r="N8" s="9">
        <v>1.3</v>
      </c>
      <c r="O8" s="7">
        <v>365</v>
      </c>
      <c r="P8" s="6">
        <f t="shared" si="2"/>
        <v>0.88857677902621723</v>
      </c>
      <c r="R8" s="8"/>
      <c r="S8" s="7"/>
      <c r="T8" s="7"/>
      <c r="U8" s="7"/>
      <c r="Z8" s="109">
        <v>1991</v>
      </c>
      <c r="AA8" s="4">
        <v>14.719999999999999</v>
      </c>
      <c r="AB8" s="4">
        <v>16.04</v>
      </c>
    </row>
    <row r="9" spans="1:28" x14ac:dyDescent="0.25">
      <c r="A9">
        <v>1995</v>
      </c>
      <c r="B9" s="1">
        <v>34894</v>
      </c>
      <c r="C9" s="50">
        <v>2495</v>
      </c>
      <c r="D9" s="4">
        <v>0.28999999999999915</v>
      </c>
      <c r="E9">
        <v>365</v>
      </c>
      <c r="F9" s="10">
        <f t="shared" si="1"/>
        <v>4.2424849699398672E-2</v>
      </c>
      <c r="G9" s="3">
        <v>1995</v>
      </c>
      <c r="H9" s="23">
        <v>1961</v>
      </c>
      <c r="I9" s="4">
        <v>1.5700000000000003</v>
      </c>
      <c r="J9">
        <v>365</v>
      </c>
      <c r="K9" s="10">
        <f t="shared" si="0"/>
        <v>0.29222335543090261</v>
      </c>
      <c r="L9" s="3">
        <v>1995</v>
      </c>
      <c r="M9" s="29">
        <v>1961</v>
      </c>
      <c r="N9" s="7">
        <v>0.63</v>
      </c>
      <c r="O9" s="7">
        <v>365</v>
      </c>
      <c r="P9" s="10">
        <f t="shared" si="2"/>
        <v>0.11726160122386536</v>
      </c>
      <c r="R9" s="8"/>
      <c r="S9" s="7"/>
      <c r="T9" s="7"/>
      <c r="U9" s="7"/>
      <c r="Z9" s="109">
        <v>1992</v>
      </c>
      <c r="AA9" s="4">
        <v>14.719999999999999</v>
      </c>
      <c r="AB9" s="4">
        <v>15.21</v>
      </c>
    </row>
    <row r="10" spans="1:28" x14ac:dyDescent="0.25">
      <c r="A10">
        <v>2005</v>
      </c>
      <c r="B10" s="1">
        <v>38548</v>
      </c>
      <c r="C10" s="50"/>
      <c r="D10" s="4"/>
      <c r="F10" s="10"/>
      <c r="G10" s="3"/>
      <c r="H10" s="23"/>
      <c r="I10" s="4"/>
      <c r="K10" s="10"/>
      <c r="L10" s="3"/>
      <c r="M10" s="23"/>
      <c r="P10" s="10"/>
      <c r="R10" s="8"/>
      <c r="S10" s="7"/>
      <c r="T10" s="7"/>
      <c r="U10" s="7"/>
      <c r="Z10" s="109">
        <v>1993</v>
      </c>
      <c r="AA10" s="4">
        <v>14.635000000000002</v>
      </c>
      <c r="AB10" s="4">
        <v>15.219999999999999</v>
      </c>
    </row>
    <row r="11" spans="1:28" x14ac:dyDescent="0.25">
      <c r="A11">
        <v>2006</v>
      </c>
      <c r="B11" s="1">
        <v>38916</v>
      </c>
      <c r="C11" s="50"/>
      <c r="D11" s="4"/>
      <c r="F11" s="10"/>
      <c r="G11" s="3"/>
      <c r="H11" s="23"/>
      <c r="I11" s="4"/>
      <c r="K11" s="10"/>
      <c r="L11" s="3"/>
      <c r="M11" s="23"/>
      <c r="P11" s="10"/>
      <c r="R11" s="8"/>
      <c r="S11" s="7"/>
      <c r="T11" s="7"/>
      <c r="U11" s="7"/>
      <c r="Z11" s="109">
        <v>1994</v>
      </c>
      <c r="AA11" s="4">
        <v>14.655000000000001</v>
      </c>
      <c r="AB11" s="4">
        <v>15.34</v>
      </c>
    </row>
    <row r="12" spans="1:28" x14ac:dyDescent="0.25">
      <c r="A12">
        <v>2006</v>
      </c>
      <c r="B12" s="1">
        <v>38985</v>
      </c>
      <c r="C12" s="50">
        <v>437</v>
      </c>
      <c r="D12" s="4">
        <v>2.8999999999999986</v>
      </c>
      <c r="E12">
        <v>365</v>
      </c>
      <c r="F12" s="6">
        <f t="shared" si="1"/>
        <v>2.4221967963386719</v>
      </c>
      <c r="G12" s="3">
        <v>2006</v>
      </c>
      <c r="H12" s="23">
        <v>4091</v>
      </c>
      <c r="I12" s="4">
        <v>4.259999999999998</v>
      </c>
      <c r="J12">
        <v>365</v>
      </c>
      <c r="K12" s="10">
        <f t="shared" si="0"/>
        <v>0.38007822048398904</v>
      </c>
      <c r="L12" s="3">
        <v>2006</v>
      </c>
      <c r="M12" s="23"/>
      <c r="P12" s="10"/>
      <c r="R12" s="8"/>
      <c r="S12" s="7"/>
      <c r="T12" s="7"/>
      <c r="U12" s="7"/>
      <c r="Z12" s="109">
        <v>1995</v>
      </c>
      <c r="AA12" s="4">
        <v>14.75</v>
      </c>
      <c r="AB12" s="4">
        <v>15.58</v>
      </c>
    </row>
    <row r="13" spans="1:28" x14ac:dyDescent="0.25">
      <c r="A13">
        <v>2009</v>
      </c>
      <c r="B13" s="1">
        <v>40008</v>
      </c>
      <c r="C13" s="50">
        <v>1023</v>
      </c>
      <c r="D13" s="4">
        <v>0.10999999999999943</v>
      </c>
      <c r="E13">
        <v>365</v>
      </c>
      <c r="F13" s="10">
        <f t="shared" si="1"/>
        <v>3.9247311827956786E-2</v>
      </c>
      <c r="G13" s="3">
        <v>2009</v>
      </c>
      <c r="H13" s="23">
        <v>1023</v>
      </c>
      <c r="I13" s="4">
        <v>5.0000000000000711E-2</v>
      </c>
      <c r="J13">
        <v>365</v>
      </c>
      <c r="K13" s="10">
        <f t="shared" si="0"/>
        <v>1.7839687194526159E-2</v>
      </c>
      <c r="L13" s="3">
        <v>2009</v>
      </c>
      <c r="M13" s="23"/>
      <c r="P13" s="10"/>
      <c r="R13" s="8"/>
      <c r="S13" s="7"/>
      <c r="T13" s="7"/>
      <c r="U13" s="7"/>
      <c r="Z13" s="109">
        <v>1996</v>
      </c>
      <c r="AA13" s="4">
        <v>14.524999999999999</v>
      </c>
      <c r="AB13" s="4">
        <v>15.280000000000001</v>
      </c>
    </row>
    <row r="14" spans="1:28" x14ac:dyDescent="0.25">
      <c r="A14">
        <v>2011</v>
      </c>
      <c r="B14" s="1">
        <v>40802</v>
      </c>
      <c r="C14" s="12">
        <v>794</v>
      </c>
      <c r="D14" s="12">
        <v>0.35000000000000142</v>
      </c>
      <c r="E14" s="21">
        <v>365</v>
      </c>
      <c r="F14" s="10">
        <f>E14*D14/C14</f>
        <v>0.16089420654911904</v>
      </c>
      <c r="G14" s="8">
        <v>2011</v>
      </c>
      <c r="H14" s="28">
        <v>794</v>
      </c>
      <c r="I14" s="9">
        <v>0.23999999999999844</v>
      </c>
      <c r="J14" s="28">
        <v>365</v>
      </c>
      <c r="K14" s="10">
        <f t="shared" ref="K14" si="3">J14*I14/H14</f>
        <v>0.11032745591939475</v>
      </c>
      <c r="L14" s="8">
        <v>2011</v>
      </c>
      <c r="M14" s="28">
        <f>B14-B9</f>
        <v>5908</v>
      </c>
      <c r="N14" s="9">
        <v>5.48</v>
      </c>
      <c r="O14" s="28">
        <v>366</v>
      </c>
      <c r="P14" s="10">
        <f t="shared" si="2"/>
        <v>0.33948544346648613</v>
      </c>
      <c r="Q14" s="3"/>
      <c r="R14" s="9"/>
      <c r="S14" s="9"/>
      <c r="T14" s="9"/>
      <c r="U14" s="10"/>
      <c r="Z14" s="109">
        <v>1997</v>
      </c>
      <c r="AA14" s="4">
        <v>14.685</v>
      </c>
      <c r="AB14" s="4">
        <v>15.5</v>
      </c>
    </row>
    <row r="15" spans="1:28" x14ac:dyDescent="0.25">
      <c r="A15">
        <v>2013</v>
      </c>
      <c r="B15" s="1">
        <v>41457</v>
      </c>
      <c r="C15" s="12">
        <v>655</v>
      </c>
      <c r="D15" s="12">
        <v>0.39000000000000057</v>
      </c>
      <c r="E15" s="21">
        <v>366</v>
      </c>
      <c r="F15" s="10">
        <f>E15*D15/C15</f>
        <v>0.21792366412213773</v>
      </c>
      <c r="G15" s="8">
        <v>2013</v>
      </c>
      <c r="H15" s="28">
        <v>655</v>
      </c>
      <c r="I15" s="9">
        <v>0</v>
      </c>
      <c r="J15" s="28">
        <v>366</v>
      </c>
      <c r="K15" s="10">
        <f>J15*I15/H15</f>
        <v>0</v>
      </c>
      <c r="L15" s="8">
        <v>2013</v>
      </c>
      <c r="M15" s="28"/>
      <c r="N15" s="9"/>
      <c r="O15" s="28"/>
      <c r="P15" s="10"/>
      <c r="Q15" s="3"/>
      <c r="R15" s="9"/>
      <c r="S15" s="9"/>
      <c r="T15" s="9"/>
      <c r="U15" s="10"/>
      <c r="Z15" s="109">
        <v>1998</v>
      </c>
      <c r="AA15" s="4">
        <v>14.68</v>
      </c>
      <c r="AB15" s="4">
        <v>15.39</v>
      </c>
    </row>
    <row r="16" spans="1:28" x14ac:dyDescent="0.25">
      <c r="A16">
        <v>2015</v>
      </c>
      <c r="B16" s="1">
        <v>42198</v>
      </c>
      <c r="C16" s="12">
        <v>741</v>
      </c>
      <c r="D16" s="12">
        <v>0.62000000000000099</v>
      </c>
      <c r="E16" s="21">
        <v>365</v>
      </c>
      <c r="F16" s="10">
        <f t="shared" ref="F16:F21" si="4">E16*D16/C16</f>
        <v>0.30539811066126904</v>
      </c>
      <c r="G16" s="8">
        <v>2015</v>
      </c>
      <c r="H16" s="34">
        <v>741</v>
      </c>
      <c r="I16" s="16">
        <v>-3.2699999999999996</v>
      </c>
      <c r="J16" s="34">
        <v>365</v>
      </c>
      <c r="K16" s="17"/>
      <c r="L16" s="8">
        <v>2015</v>
      </c>
      <c r="M16" s="34">
        <f>B16-B14</f>
        <v>1396</v>
      </c>
      <c r="N16" s="16">
        <v>-1.95</v>
      </c>
      <c r="O16" s="34">
        <v>365</v>
      </c>
      <c r="P16" s="17"/>
      <c r="Q16" s="3"/>
      <c r="R16" s="9"/>
      <c r="S16" s="9"/>
      <c r="T16" s="9"/>
      <c r="U16" s="10"/>
      <c r="Z16" s="109">
        <v>1999</v>
      </c>
      <c r="AA16" s="4">
        <v>14.654999999999999</v>
      </c>
      <c r="AB16" s="4">
        <v>15.25</v>
      </c>
    </row>
    <row r="17" spans="1:28" x14ac:dyDescent="0.25">
      <c r="A17">
        <v>2016</v>
      </c>
      <c r="B17" s="1">
        <v>42627</v>
      </c>
      <c r="C17" s="12">
        <v>429</v>
      </c>
      <c r="D17" s="12">
        <v>0</v>
      </c>
      <c r="E17" s="21">
        <v>365</v>
      </c>
      <c r="F17" s="10">
        <f t="shared" si="4"/>
        <v>0</v>
      </c>
      <c r="G17" s="8">
        <v>2016</v>
      </c>
      <c r="H17" s="28">
        <v>429</v>
      </c>
      <c r="I17" s="9">
        <v>0</v>
      </c>
      <c r="J17" s="28">
        <v>365</v>
      </c>
      <c r="K17" s="10">
        <f t="shared" ref="K17:K21" si="5">J17*I17/H17</f>
        <v>0</v>
      </c>
      <c r="L17" s="8">
        <v>2016</v>
      </c>
      <c r="M17" s="34">
        <v>429</v>
      </c>
      <c r="N17" s="16">
        <v>-2.39</v>
      </c>
      <c r="O17" s="34">
        <v>365</v>
      </c>
      <c r="P17" s="17"/>
      <c r="Q17" s="3"/>
      <c r="R17" s="9"/>
      <c r="S17" s="9"/>
      <c r="T17" s="9"/>
      <c r="U17" s="10"/>
      <c r="Z17" s="109">
        <v>2000</v>
      </c>
      <c r="AA17" s="4">
        <v>14.75</v>
      </c>
      <c r="AB17" s="4">
        <v>15.31</v>
      </c>
    </row>
    <row r="18" spans="1:28" x14ac:dyDescent="0.25">
      <c r="A18">
        <v>2017</v>
      </c>
      <c r="B18" s="1">
        <v>42905</v>
      </c>
      <c r="C18" s="12">
        <v>278</v>
      </c>
      <c r="D18" s="12">
        <v>0.33999999999999986</v>
      </c>
      <c r="E18" s="21">
        <v>365</v>
      </c>
      <c r="F18" s="10">
        <f t="shared" si="4"/>
        <v>0.44640287769784154</v>
      </c>
      <c r="G18" s="8">
        <v>2017</v>
      </c>
      <c r="H18" s="34">
        <v>278</v>
      </c>
      <c r="I18" s="16">
        <v>0.37999999999999901</v>
      </c>
      <c r="J18" s="34">
        <v>365</v>
      </c>
      <c r="K18" s="17">
        <f t="shared" si="5"/>
        <v>0.49892086330935126</v>
      </c>
      <c r="L18" s="8">
        <v>2017</v>
      </c>
      <c r="M18" s="28"/>
      <c r="N18" s="9"/>
      <c r="O18" s="28"/>
      <c r="P18" s="10"/>
      <c r="Q18" s="3"/>
      <c r="R18" s="9"/>
      <c r="S18" s="9"/>
      <c r="T18" s="9"/>
      <c r="U18" s="10"/>
      <c r="Z18" s="109">
        <v>2001</v>
      </c>
      <c r="AA18" s="4">
        <v>14.895</v>
      </c>
      <c r="AB18" s="4">
        <v>15.600000000000001</v>
      </c>
    </row>
    <row r="19" spans="1:28" x14ac:dyDescent="0.25">
      <c r="A19">
        <v>2019</v>
      </c>
      <c r="B19" s="1">
        <v>43745</v>
      </c>
      <c r="C19" s="12">
        <v>840</v>
      </c>
      <c r="D19" s="12">
        <v>0.19999999999999929</v>
      </c>
      <c r="E19" s="21">
        <v>366</v>
      </c>
      <c r="F19" s="10">
        <f t="shared" si="4"/>
        <v>8.7142857142856828E-2</v>
      </c>
      <c r="G19" s="8">
        <v>2019</v>
      </c>
      <c r="H19" s="28">
        <v>840</v>
      </c>
      <c r="I19" s="9">
        <v>1.9999999999999574E-2</v>
      </c>
      <c r="J19" s="28">
        <v>366</v>
      </c>
      <c r="K19" s="10">
        <f t="shared" si="5"/>
        <v>8.7142857142855287E-3</v>
      </c>
      <c r="L19" s="8">
        <v>2019</v>
      </c>
      <c r="M19" s="34">
        <f>B19-B17</f>
        <v>1118</v>
      </c>
      <c r="N19" s="16">
        <v>1.58</v>
      </c>
      <c r="O19" s="34">
        <v>366</v>
      </c>
      <c r="P19" s="17">
        <f t="shared" ref="P19:P20" si="6">O19*N19/M19</f>
        <v>0.51724508050089446</v>
      </c>
      <c r="Q19" s="3"/>
      <c r="R19" s="9"/>
      <c r="S19" s="9"/>
      <c r="T19" s="9"/>
      <c r="U19" s="10"/>
      <c r="Z19" s="109">
        <v>2002</v>
      </c>
      <c r="AA19" s="4">
        <v>14.825000000000001</v>
      </c>
      <c r="AB19" s="4">
        <v>15.3</v>
      </c>
    </row>
    <row r="20" spans="1:28" x14ac:dyDescent="0.25">
      <c r="A20">
        <v>2021</v>
      </c>
      <c r="B20" s="1">
        <v>44348</v>
      </c>
      <c r="C20" s="12"/>
      <c r="E20" s="21"/>
      <c r="F20" s="10"/>
      <c r="G20" s="8">
        <v>2021</v>
      </c>
      <c r="H20" s="28">
        <v>603</v>
      </c>
      <c r="I20" s="9">
        <v>0.17999999999999972</v>
      </c>
      <c r="J20" s="28">
        <v>365</v>
      </c>
      <c r="K20" s="10">
        <f t="shared" si="5"/>
        <v>0.10895522388059685</v>
      </c>
      <c r="L20" s="8">
        <v>2021</v>
      </c>
      <c r="M20" s="34">
        <v>603</v>
      </c>
      <c r="N20" s="16">
        <v>0.51</v>
      </c>
      <c r="O20" s="34">
        <v>365</v>
      </c>
      <c r="P20" s="17">
        <f t="shared" si="6"/>
        <v>0.30870646766169157</v>
      </c>
      <c r="R20" s="7"/>
      <c r="S20" s="7"/>
      <c r="T20" s="7"/>
      <c r="U20" s="7"/>
      <c r="Z20" s="109">
        <v>2003</v>
      </c>
      <c r="AA20" s="4">
        <v>14.89</v>
      </c>
      <c r="AB20" s="4">
        <v>15.370000000000001</v>
      </c>
    </row>
    <row r="21" spans="1:28" x14ac:dyDescent="0.25">
      <c r="A21">
        <v>2024</v>
      </c>
      <c r="B21" s="1">
        <v>45485</v>
      </c>
      <c r="C21" s="12">
        <f>B21-B19</f>
        <v>1740</v>
      </c>
      <c r="D21">
        <v>0.11</v>
      </c>
      <c r="E21" s="21">
        <v>366</v>
      </c>
      <c r="F21" s="10">
        <f t="shared" si="4"/>
        <v>2.3137931034482757E-2</v>
      </c>
      <c r="G21" s="8">
        <v>2024</v>
      </c>
      <c r="H21" s="28">
        <f>B21-B20</f>
        <v>1137</v>
      </c>
      <c r="I21" s="9">
        <v>0.11</v>
      </c>
      <c r="J21" s="28">
        <v>366</v>
      </c>
      <c r="K21" s="10">
        <f t="shared" si="5"/>
        <v>3.5408970976253298E-2</v>
      </c>
      <c r="L21" s="8">
        <v>2024</v>
      </c>
      <c r="M21" s="28">
        <f>B21-B14</f>
        <v>4683</v>
      </c>
      <c r="N21" s="9">
        <v>1.71</v>
      </c>
      <c r="O21" s="28">
        <v>366</v>
      </c>
      <c r="P21" s="10">
        <f>O21*N21/M21</f>
        <v>0.13364509929532351</v>
      </c>
      <c r="R21" s="7"/>
      <c r="S21" s="7"/>
      <c r="T21" s="7"/>
      <c r="U21" s="7"/>
      <c r="Z21" s="109">
        <v>2004</v>
      </c>
      <c r="AA21" s="4">
        <v>14.805</v>
      </c>
      <c r="AB21" s="4">
        <v>15.32</v>
      </c>
    </row>
    <row r="22" spans="1:28" x14ac:dyDescent="0.25">
      <c r="B22" s="48"/>
      <c r="C22" s="7"/>
      <c r="D22" s="7"/>
      <c r="E22" s="28"/>
      <c r="F22" s="10"/>
      <c r="G22" s="8"/>
      <c r="H22" s="9"/>
      <c r="I22" s="9"/>
      <c r="J22" s="9"/>
      <c r="K22" s="10"/>
      <c r="L22" s="8"/>
      <c r="M22" s="9"/>
      <c r="N22" s="9"/>
      <c r="O22" s="4"/>
      <c r="P22" s="10"/>
      <c r="R22" s="7"/>
      <c r="S22" s="7"/>
      <c r="T22" s="7"/>
      <c r="U22" s="7"/>
      <c r="Z22" s="109">
        <v>2005</v>
      </c>
      <c r="AA22" s="4">
        <v>14.93</v>
      </c>
      <c r="AB22" s="4">
        <v>15.77</v>
      </c>
    </row>
    <row r="23" spans="1:28" x14ac:dyDescent="0.25">
      <c r="E23" s="3" t="s">
        <v>23</v>
      </c>
      <c r="F23" s="5">
        <f>AVERAGE(F10:F19)</f>
        <v>0.45990072804248155</v>
      </c>
      <c r="G23" s="4"/>
      <c r="H23" s="4"/>
      <c r="I23" s="4"/>
      <c r="J23" s="4"/>
      <c r="K23" s="5">
        <f t="shared" ref="K23" si="7">AVERAGE(K10:K19)</f>
        <v>0.1451257875173638</v>
      </c>
      <c r="L23" s="7"/>
      <c r="M23" s="7"/>
      <c r="N23" s="7"/>
      <c r="O23" s="7"/>
      <c r="P23" s="8">
        <v>0.13</v>
      </c>
      <c r="Z23" s="109">
        <v>2006</v>
      </c>
      <c r="AA23" s="4">
        <v>14.81</v>
      </c>
      <c r="AB23" s="4">
        <v>15.5</v>
      </c>
    </row>
    <row r="24" spans="1:28" x14ac:dyDescent="0.25"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Z24" s="109">
        <v>2007</v>
      </c>
      <c r="AA24" s="4">
        <v>14.79</v>
      </c>
      <c r="AB24" s="4">
        <v>15.41</v>
      </c>
    </row>
    <row r="25" spans="1:28" x14ac:dyDescent="0.25">
      <c r="E25" s="3" t="s">
        <v>27</v>
      </c>
      <c r="F25" s="10">
        <f>MAX(F10:F20)</f>
        <v>2.4221967963386719</v>
      </c>
      <c r="G25" s="9"/>
      <c r="H25" s="9"/>
      <c r="I25" s="9"/>
      <c r="J25" s="9"/>
      <c r="K25" s="10">
        <f t="shared" ref="K25" si="8">MAX(K10:K20)</f>
        <v>0.49892086330935126</v>
      </c>
      <c r="L25" s="7"/>
      <c r="M25" s="7"/>
      <c r="N25" s="7"/>
      <c r="O25" s="7"/>
      <c r="P25" s="8">
        <v>0.34</v>
      </c>
      <c r="Z25" s="109">
        <v>2008</v>
      </c>
      <c r="AA25" s="4">
        <v>14.73</v>
      </c>
      <c r="AB25" s="4">
        <v>15.690000000000001</v>
      </c>
    </row>
    <row r="26" spans="1:28" x14ac:dyDescent="0.25">
      <c r="E26" s="3"/>
      <c r="F26" s="10"/>
      <c r="G26" s="9"/>
      <c r="H26" s="9"/>
      <c r="I26" s="9"/>
      <c r="J26" s="9"/>
      <c r="K26" s="10"/>
      <c r="L26" s="7"/>
      <c r="M26" s="7"/>
      <c r="N26" s="7"/>
      <c r="O26" s="7"/>
      <c r="P26" s="8"/>
      <c r="Z26" s="109">
        <v>2009</v>
      </c>
      <c r="AA26" s="4">
        <v>14.705</v>
      </c>
      <c r="AB26" s="4">
        <v>15.45</v>
      </c>
    </row>
    <row r="27" spans="1:28" x14ac:dyDescent="0.25">
      <c r="C27" s="3" t="s">
        <v>4</v>
      </c>
      <c r="F27" t="s">
        <v>50</v>
      </c>
      <c r="H27" s="3" t="s">
        <v>17</v>
      </c>
      <c r="L27" t="s">
        <v>50</v>
      </c>
      <c r="M27" s="3" t="s">
        <v>36</v>
      </c>
      <c r="R27" t="s">
        <v>50</v>
      </c>
      <c r="Z27" s="109">
        <v>2010</v>
      </c>
      <c r="AA27" s="4">
        <v>14.365</v>
      </c>
      <c r="AB27" s="4">
        <v>15.600000000000001</v>
      </c>
    </row>
    <row r="28" spans="1:28" x14ac:dyDescent="0.25">
      <c r="A28" s="3">
        <v>1977</v>
      </c>
      <c r="B28" s="1">
        <v>28460</v>
      </c>
      <c r="D28">
        <v>0</v>
      </c>
      <c r="F28" s="3">
        <v>0</v>
      </c>
      <c r="G28" s="24">
        <v>1977</v>
      </c>
      <c r="H28" s="1">
        <v>28460</v>
      </c>
      <c r="J28" s="4">
        <v>0</v>
      </c>
      <c r="L28" s="3">
        <v>0</v>
      </c>
      <c r="M28" s="3">
        <v>1977</v>
      </c>
      <c r="N28" s="1">
        <v>28460</v>
      </c>
      <c r="P28" s="7">
        <v>0</v>
      </c>
      <c r="R28" s="3">
        <v>0</v>
      </c>
      <c r="Z28" s="109">
        <v>2011</v>
      </c>
      <c r="AA28" s="4">
        <v>14.405000000000001</v>
      </c>
      <c r="AB28" s="4">
        <v>15.49</v>
      </c>
    </row>
    <row r="29" spans="1:28" x14ac:dyDescent="0.25">
      <c r="A29" s="3">
        <v>1980</v>
      </c>
      <c r="B29" s="1">
        <v>29530</v>
      </c>
      <c r="D29" s="4">
        <v>0.69999999999999574</v>
      </c>
      <c r="F29" s="5">
        <f>D28+D29</f>
        <v>0.69999999999999574</v>
      </c>
      <c r="G29" s="24">
        <v>1980</v>
      </c>
      <c r="H29" s="1">
        <v>29530</v>
      </c>
      <c r="J29" s="4">
        <v>1.389999999999997</v>
      </c>
      <c r="L29" s="5">
        <f>L28+J29</f>
        <v>1.389999999999997</v>
      </c>
      <c r="M29" s="24">
        <v>1980</v>
      </c>
      <c r="N29" s="1">
        <v>29530</v>
      </c>
      <c r="P29" s="7">
        <v>3.28</v>
      </c>
      <c r="R29" s="3">
        <f>R28+P29</f>
        <v>3.28</v>
      </c>
      <c r="Z29" s="109">
        <v>2012</v>
      </c>
      <c r="AA29" s="4">
        <v>14.625</v>
      </c>
      <c r="AB29" s="4">
        <v>15.52</v>
      </c>
    </row>
    <row r="30" spans="1:28" x14ac:dyDescent="0.25">
      <c r="A30" s="3">
        <v>1986</v>
      </c>
      <c r="B30" s="1">
        <v>31731</v>
      </c>
      <c r="D30" s="4">
        <v>3.6000000000000085</v>
      </c>
      <c r="F30" s="5">
        <f>F29+D30</f>
        <v>4.3000000000000043</v>
      </c>
      <c r="G30" s="24">
        <v>1986</v>
      </c>
      <c r="H30" s="1">
        <v>31731</v>
      </c>
      <c r="J30" s="4">
        <v>2.5</v>
      </c>
      <c r="L30" s="5">
        <f>L29+J30</f>
        <v>3.889999999999997</v>
      </c>
      <c r="M30" s="24">
        <v>1986</v>
      </c>
      <c r="N30" s="1">
        <v>31731</v>
      </c>
      <c r="P30" s="7">
        <v>0.99</v>
      </c>
      <c r="R30" s="3">
        <f>R29+P30</f>
        <v>4.2699999999999996</v>
      </c>
      <c r="Z30" s="109">
        <v>2013</v>
      </c>
      <c r="AA30" s="4">
        <v>14.755000000000001</v>
      </c>
      <c r="AB30" s="4">
        <v>15.370000000000001</v>
      </c>
    </row>
    <row r="31" spans="1:28" x14ac:dyDescent="0.25">
      <c r="A31" s="3">
        <v>1988</v>
      </c>
      <c r="B31" s="1">
        <v>32399</v>
      </c>
      <c r="D31" s="4">
        <v>2.9999999999999964</v>
      </c>
      <c r="F31" s="5">
        <f t="shared" ref="F31:F41" si="9">F30+D31</f>
        <v>7.3000000000000007</v>
      </c>
      <c r="G31" s="24">
        <v>1988</v>
      </c>
      <c r="H31" s="1">
        <v>32399</v>
      </c>
      <c r="J31" s="4">
        <v>6.0000000000002274E-2</v>
      </c>
      <c r="L31" s="5">
        <f t="shared" ref="L31:L42" si="10">L30+J31</f>
        <v>3.9499999999999993</v>
      </c>
      <c r="M31" s="24">
        <v>1988</v>
      </c>
      <c r="N31" s="1">
        <v>32399</v>
      </c>
      <c r="P31" s="7">
        <v>0.28000000000000003</v>
      </c>
      <c r="R31" s="3">
        <f t="shared" ref="R31:R35" si="11">R30+P31</f>
        <v>4.55</v>
      </c>
      <c r="Z31" s="109">
        <v>2014</v>
      </c>
      <c r="AA31" s="4">
        <v>14.52</v>
      </c>
      <c r="AB31" s="4">
        <v>15.45</v>
      </c>
    </row>
    <row r="32" spans="1:28" x14ac:dyDescent="0.25">
      <c r="A32" s="3">
        <v>1995</v>
      </c>
      <c r="B32" s="1">
        <v>34894</v>
      </c>
      <c r="D32" s="4">
        <v>0.28999999999999915</v>
      </c>
      <c r="F32" s="5">
        <f t="shared" si="9"/>
        <v>7.59</v>
      </c>
      <c r="G32" s="24">
        <v>1990</v>
      </c>
      <c r="H32" s="1">
        <v>32933</v>
      </c>
      <c r="J32" s="4">
        <v>0.85000000000000142</v>
      </c>
      <c r="L32" s="5">
        <f t="shared" si="10"/>
        <v>4.8000000000000007</v>
      </c>
      <c r="M32" s="24">
        <v>1990</v>
      </c>
      <c r="N32" s="1">
        <v>32933</v>
      </c>
      <c r="P32" s="9">
        <v>1.3</v>
      </c>
      <c r="R32" s="3">
        <f t="shared" si="11"/>
        <v>5.85</v>
      </c>
      <c r="Z32" s="109">
        <v>2015</v>
      </c>
      <c r="AA32" s="4">
        <v>14.55</v>
      </c>
      <c r="AB32" s="4">
        <v>15.18</v>
      </c>
    </row>
    <row r="33" spans="1:28" x14ac:dyDescent="0.25">
      <c r="A33" s="3">
        <v>2006</v>
      </c>
      <c r="B33" s="1">
        <v>38985</v>
      </c>
      <c r="D33" s="4">
        <v>2.8999999999999986</v>
      </c>
      <c r="F33" s="5">
        <f t="shared" si="9"/>
        <v>10.489999999999998</v>
      </c>
      <c r="G33" s="24">
        <v>1995</v>
      </c>
      <c r="H33" s="1">
        <v>34894</v>
      </c>
      <c r="J33" s="4">
        <v>1.5700000000000003</v>
      </c>
      <c r="L33" s="5">
        <f t="shared" si="10"/>
        <v>6.370000000000001</v>
      </c>
      <c r="M33" s="24">
        <v>1995</v>
      </c>
      <c r="N33" s="1">
        <v>34894</v>
      </c>
      <c r="P33" s="7">
        <v>0.63</v>
      </c>
      <c r="R33" s="3">
        <f t="shared" si="11"/>
        <v>6.4799999999999995</v>
      </c>
      <c r="Z33" s="109">
        <v>2016</v>
      </c>
      <c r="AA33" s="4">
        <v>14.785</v>
      </c>
      <c r="AB33" s="4">
        <v>15.600000000000001</v>
      </c>
    </row>
    <row r="34" spans="1:28" x14ac:dyDescent="0.25">
      <c r="A34" s="3">
        <v>2009</v>
      </c>
      <c r="B34" s="1">
        <v>40008</v>
      </c>
      <c r="D34" s="4">
        <v>0.10999999999999943</v>
      </c>
      <c r="F34" s="5">
        <f t="shared" si="9"/>
        <v>10.599999999999998</v>
      </c>
      <c r="G34" s="24">
        <v>2006</v>
      </c>
      <c r="H34" s="1">
        <v>38985</v>
      </c>
      <c r="J34" s="4">
        <v>4.259999999999998</v>
      </c>
      <c r="L34" s="5">
        <f t="shared" si="10"/>
        <v>10.629999999999999</v>
      </c>
      <c r="M34" s="24">
        <v>2011</v>
      </c>
      <c r="N34" s="1">
        <v>40802</v>
      </c>
      <c r="P34" s="9">
        <v>5.48</v>
      </c>
      <c r="R34" s="3">
        <f t="shared" si="11"/>
        <v>11.96</v>
      </c>
      <c r="Z34" s="109">
        <v>2017</v>
      </c>
      <c r="AA34" s="4">
        <v>14.78</v>
      </c>
      <c r="AB34" s="4">
        <v>15.45</v>
      </c>
    </row>
    <row r="35" spans="1:28" x14ac:dyDescent="0.25">
      <c r="A35" s="3">
        <v>2011</v>
      </c>
      <c r="B35" s="1">
        <v>40802</v>
      </c>
      <c r="D35" s="12">
        <v>0.35000000000000142</v>
      </c>
      <c r="F35" s="5">
        <f t="shared" si="9"/>
        <v>10.95</v>
      </c>
      <c r="G35" s="24">
        <v>2009</v>
      </c>
      <c r="H35" s="1">
        <v>40008</v>
      </c>
      <c r="J35" s="4">
        <v>5.0000000000000711E-2</v>
      </c>
      <c r="L35" s="5">
        <f t="shared" si="10"/>
        <v>10.68</v>
      </c>
      <c r="M35" s="24">
        <v>2024</v>
      </c>
      <c r="N35" s="1">
        <v>45485</v>
      </c>
      <c r="P35" s="9">
        <v>1.71</v>
      </c>
      <c r="R35" s="3">
        <f t="shared" si="11"/>
        <v>13.670000000000002</v>
      </c>
      <c r="Z35" s="109">
        <v>2018</v>
      </c>
      <c r="AA35" s="4">
        <v>14.64</v>
      </c>
      <c r="AB35" s="4">
        <v>15.2</v>
      </c>
    </row>
    <row r="36" spans="1:28" x14ac:dyDescent="0.25">
      <c r="A36" s="3">
        <v>2013</v>
      </c>
      <c r="B36" s="1">
        <v>41457</v>
      </c>
      <c r="D36" s="12">
        <v>0.39000000000000057</v>
      </c>
      <c r="F36" s="5">
        <f t="shared" si="9"/>
        <v>11.34</v>
      </c>
      <c r="G36" s="24">
        <v>2011</v>
      </c>
      <c r="H36" s="1">
        <v>40802</v>
      </c>
      <c r="J36" s="9">
        <v>0.23999999999999844</v>
      </c>
      <c r="L36" s="5">
        <f t="shared" si="10"/>
        <v>10.919999999999998</v>
      </c>
    </row>
    <row r="37" spans="1:28" x14ac:dyDescent="0.25">
      <c r="A37" s="3">
        <v>2015</v>
      </c>
      <c r="B37" s="1">
        <v>42198</v>
      </c>
      <c r="D37" s="12">
        <v>0.62000000000000099</v>
      </c>
      <c r="F37" s="5">
        <f t="shared" si="9"/>
        <v>11.96</v>
      </c>
      <c r="G37" s="24">
        <v>2013</v>
      </c>
      <c r="H37" s="1">
        <v>41457</v>
      </c>
      <c r="J37" s="9">
        <v>0</v>
      </c>
      <c r="L37" s="5">
        <f t="shared" si="10"/>
        <v>10.919999999999998</v>
      </c>
    </row>
    <row r="38" spans="1:28" x14ac:dyDescent="0.25">
      <c r="A38" s="3">
        <v>2016</v>
      </c>
      <c r="B38" s="1">
        <v>42627</v>
      </c>
      <c r="D38" s="12">
        <v>0</v>
      </c>
      <c r="F38" s="5">
        <f t="shared" si="9"/>
        <v>11.96</v>
      </c>
      <c r="G38" s="24">
        <v>2016</v>
      </c>
      <c r="H38" s="1">
        <v>42627</v>
      </c>
      <c r="J38" s="9">
        <v>0</v>
      </c>
      <c r="L38" s="5">
        <f t="shared" si="10"/>
        <v>10.919999999999998</v>
      </c>
    </row>
    <row r="39" spans="1:28" x14ac:dyDescent="0.25">
      <c r="A39" s="3">
        <v>2017</v>
      </c>
      <c r="B39" s="1">
        <v>42905</v>
      </c>
      <c r="D39" s="12">
        <v>0.33999999999999986</v>
      </c>
      <c r="F39" s="5">
        <f t="shared" si="9"/>
        <v>12.3</v>
      </c>
      <c r="G39" s="24">
        <v>2017</v>
      </c>
      <c r="H39" s="1">
        <v>42905</v>
      </c>
      <c r="J39" s="9">
        <v>0.37999999999999901</v>
      </c>
      <c r="L39" s="5">
        <f t="shared" si="10"/>
        <v>11.299999999999997</v>
      </c>
    </row>
    <row r="40" spans="1:28" x14ac:dyDescent="0.25">
      <c r="A40" s="3">
        <v>2019</v>
      </c>
      <c r="B40" s="1">
        <v>43745</v>
      </c>
      <c r="D40" s="12">
        <v>0.19999999999999929</v>
      </c>
      <c r="F40" s="5">
        <f t="shared" si="9"/>
        <v>12.5</v>
      </c>
      <c r="G40" s="24">
        <v>2019</v>
      </c>
      <c r="H40" s="1">
        <v>43745</v>
      </c>
      <c r="J40" s="9">
        <v>1.9999999999999574E-2</v>
      </c>
      <c r="L40" s="5">
        <f t="shared" si="10"/>
        <v>11.319999999999997</v>
      </c>
    </row>
    <row r="41" spans="1:28" x14ac:dyDescent="0.25">
      <c r="A41" s="3">
        <v>2024</v>
      </c>
      <c r="B41" s="1">
        <v>45485</v>
      </c>
      <c r="D41">
        <v>0.11</v>
      </c>
      <c r="F41" s="5">
        <f t="shared" si="9"/>
        <v>12.61</v>
      </c>
      <c r="G41" s="24">
        <v>2021</v>
      </c>
      <c r="H41" s="1">
        <v>44348</v>
      </c>
      <c r="J41" s="9">
        <v>0.17999999999999972</v>
      </c>
      <c r="L41" s="5">
        <f t="shared" si="10"/>
        <v>11.499999999999996</v>
      </c>
    </row>
    <row r="42" spans="1:28" x14ac:dyDescent="0.25">
      <c r="G42" s="24">
        <v>2024</v>
      </c>
      <c r="H42" s="1">
        <v>45485</v>
      </c>
      <c r="J42" s="9">
        <v>0.11</v>
      </c>
      <c r="L42" s="5">
        <f t="shared" si="10"/>
        <v>11.609999999999996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topLeftCell="G1" workbookViewId="0">
      <selection activeCell="R33" sqref="R33"/>
    </sheetView>
  </sheetViews>
  <sheetFormatPr defaultRowHeight="15" x14ac:dyDescent="0.25"/>
  <cols>
    <col min="2" max="2" width="11.85546875" customWidth="1"/>
    <col min="3" max="3" width="9.140625" customWidth="1"/>
    <col min="5" max="5" width="11.140625" customWidth="1"/>
    <col min="7" max="7" width="11.140625" customWidth="1"/>
    <col min="8" max="8" width="11.85546875" customWidth="1"/>
    <col min="11" max="11" width="9.5703125" bestFit="1" customWidth="1"/>
    <col min="12" max="12" width="10.5703125" customWidth="1"/>
    <col min="13" max="13" width="11.28515625" customWidth="1"/>
    <col min="14" max="14" width="10.85546875" customWidth="1"/>
  </cols>
  <sheetData>
    <row r="1" spans="1:27" x14ac:dyDescent="0.25">
      <c r="B1" s="3" t="s">
        <v>18</v>
      </c>
    </row>
    <row r="2" spans="1:27" x14ac:dyDescent="0.25">
      <c r="C2" s="3" t="s">
        <v>1</v>
      </c>
      <c r="H2" s="3" t="s">
        <v>2</v>
      </c>
      <c r="M2" s="3" t="s">
        <v>3</v>
      </c>
      <c r="R2" s="8"/>
      <c r="S2" s="7"/>
      <c r="T2" s="7"/>
      <c r="U2" s="7"/>
    </row>
    <row r="3" spans="1:27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</row>
    <row r="4" spans="1:27" x14ac:dyDescent="0.25">
      <c r="A4">
        <v>1987</v>
      </c>
      <c r="B4" s="100">
        <v>31955</v>
      </c>
      <c r="C4" s="3"/>
      <c r="H4" s="3"/>
      <c r="M4" s="3"/>
      <c r="R4" s="8"/>
      <c r="S4" s="7"/>
      <c r="T4" s="7"/>
      <c r="U4" s="7"/>
    </row>
    <row r="5" spans="1:27" x14ac:dyDescent="0.25">
      <c r="A5">
        <v>1990</v>
      </c>
      <c r="B5" s="100">
        <v>33016</v>
      </c>
      <c r="C5" s="23">
        <v>1061</v>
      </c>
      <c r="D5" s="4">
        <v>1.210000000000008</v>
      </c>
      <c r="E5">
        <v>365</v>
      </c>
      <c r="F5" s="10">
        <f>E5*D5/C5</f>
        <v>0.41625824693685481</v>
      </c>
      <c r="G5" s="24">
        <v>1990</v>
      </c>
      <c r="H5" s="21">
        <v>1061</v>
      </c>
      <c r="I5" s="102">
        <v>0.21999999999999886</v>
      </c>
      <c r="J5">
        <v>365</v>
      </c>
      <c r="K5" s="10">
        <f t="shared" ref="K5:K16" si="0">J5*I5/H5</f>
        <v>7.5683317624881799E-2</v>
      </c>
      <c r="L5" s="24">
        <v>1990</v>
      </c>
      <c r="M5" s="24">
        <v>1061</v>
      </c>
      <c r="N5" s="4">
        <v>0.25</v>
      </c>
      <c r="O5">
        <v>365</v>
      </c>
      <c r="P5" s="10">
        <f>O5*N5/M5</f>
        <v>8.6003770028275209E-2</v>
      </c>
      <c r="R5" s="8"/>
      <c r="S5" s="7"/>
      <c r="T5" s="7"/>
      <c r="U5" s="7"/>
      <c r="Y5" t="s">
        <v>47</v>
      </c>
      <c r="Z5" t="s">
        <v>48</v>
      </c>
    </row>
    <row r="6" spans="1:27" x14ac:dyDescent="0.25">
      <c r="A6">
        <v>1995</v>
      </c>
      <c r="B6" s="100">
        <v>34902</v>
      </c>
      <c r="C6" s="23">
        <v>1886</v>
      </c>
      <c r="D6" s="4">
        <v>2.1299999999999812</v>
      </c>
      <c r="E6">
        <v>365</v>
      </c>
      <c r="F6" s="10">
        <f t="shared" ref="F6:F16" si="1">E6*D6/C6</f>
        <v>0.41222163308589244</v>
      </c>
      <c r="G6" s="24">
        <v>1995</v>
      </c>
      <c r="H6" s="21">
        <v>1886</v>
      </c>
      <c r="I6" s="102">
        <v>0.13000000000000256</v>
      </c>
      <c r="J6">
        <v>365</v>
      </c>
      <c r="K6" s="10">
        <f t="shared" si="0"/>
        <v>2.515906680805988E-2</v>
      </c>
      <c r="L6" s="24">
        <v>1995</v>
      </c>
      <c r="M6" s="24">
        <v>1886</v>
      </c>
      <c r="N6" s="4">
        <v>0.20000000000000284</v>
      </c>
      <c r="O6">
        <v>365</v>
      </c>
      <c r="P6" s="10">
        <f t="shared" ref="P6:P16" si="2">O6*N6/M6</f>
        <v>3.8706256627784222E-2</v>
      </c>
      <c r="R6" s="8"/>
      <c r="S6" s="7"/>
      <c r="T6" s="7"/>
      <c r="U6" s="7"/>
      <c r="Y6" s="109">
        <v>1986</v>
      </c>
      <c r="Z6" s="4">
        <v>14.350000000000001</v>
      </c>
      <c r="AA6" s="4">
        <v>15.34</v>
      </c>
    </row>
    <row r="7" spans="1:27" x14ac:dyDescent="0.25">
      <c r="A7">
        <v>1999</v>
      </c>
      <c r="B7" s="100">
        <v>36349</v>
      </c>
      <c r="C7" s="23">
        <v>1447</v>
      </c>
      <c r="D7" s="4">
        <v>0.11000000000001364</v>
      </c>
      <c r="E7">
        <v>365</v>
      </c>
      <c r="F7" s="10">
        <f t="shared" si="1"/>
        <v>2.7747062888738756E-2</v>
      </c>
      <c r="G7" s="24">
        <v>1999</v>
      </c>
      <c r="H7" s="21">
        <v>1447</v>
      </c>
      <c r="I7" s="102">
        <v>1.9999999999996021E-2</v>
      </c>
      <c r="J7">
        <v>365</v>
      </c>
      <c r="K7" s="10">
        <v>0</v>
      </c>
      <c r="L7" s="24">
        <v>1999</v>
      </c>
      <c r="M7" s="24">
        <v>756</v>
      </c>
      <c r="N7" s="4">
        <v>0.10999999999999943</v>
      </c>
      <c r="O7">
        <v>365</v>
      </c>
      <c r="P7" s="10">
        <f t="shared" si="2"/>
        <v>5.3108465608465334E-2</v>
      </c>
      <c r="R7" s="8"/>
      <c r="S7" s="7"/>
      <c r="T7" s="7"/>
      <c r="U7" s="7"/>
      <c r="Y7" s="109">
        <v>1987</v>
      </c>
      <c r="Z7" s="4">
        <v>14.45</v>
      </c>
      <c r="AA7" s="4">
        <v>15.379999999999999</v>
      </c>
    </row>
    <row r="8" spans="1:27" x14ac:dyDescent="0.25">
      <c r="A8">
        <v>2000</v>
      </c>
      <c r="B8" s="100">
        <v>36716</v>
      </c>
      <c r="C8" s="23">
        <v>367</v>
      </c>
      <c r="D8" s="4">
        <v>9.9999999999909051E-3</v>
      </c>
      <c r="E8">
        <v>366</v>
      </c>
      <c r="F8" s="10">
        <v>0</v>
      </c>
      <c r="G8" s="24">
        <v>2000</v>
      </c>
      <c r="H8" s="21">
        <v>367</v>
      </c>
      <c r="I8" s="102">
        <v>-1.9999999999996021E-2</v>
      </c>
      <c r="J8">
        <v>366</v>
      </c>
      <c r="K8" s="10">
        <v>0</v>
      </c>
      <c r="L8" s="24">
        <v>2000</v>
      </c>
      <c r="M8" s="24">
        <v>1058</v>
      </c>
      <c r="N8" s="4">
        <v>0.46000000000000085</v>
      </c>
      <c r="O8">
        <v>366</v>
      </c>
      <c r="P8" s="10">
        <f t="shared" si="2"/>
        <v>0.15913043478260896</v>
      </c>
      <c r="R8" s="8"/>
      <c r="S8" s="7"/>
      <c r="T8" s="7"/>
      <c r="U8" s="7"/>
      <c r="Y8" s="109">
        <v>1988</v>
      </c>
      <c r="Z8" s="4">
        <v>14.605</v>
      </c>
      <c r="AA8" s="4">
        <v>15.59</v>
      </c>
    </row>
    <row r="9" spans="1:27" x14ac:dyDescent="0.25">
      <c r="A9">
        <v>2003</v>
      </c>
      <c r="B9" s="100">
        <v>37827</v>
      </c>
      <c r="C9" s="23"/>
      <c r="D9" s="4"/>
      <c r="F9" s="10"/>
      <c r="G9" s="24">
        <v>2003</v>
      </c>
      <c r="H9" s="21">
        <v>1111</v>
      </c>
      <c r="I9" s="102">
        <v>0.10000000000000142</v>
      </c>
      <c r="J9">
        <v>365</v>
      </c>
      <c r="K9" s="10">
        <f t="shared" si="0"/>
        <v>3.2853285328533322E-2</v>
      </c>
      <c r="L9" s="24">
        <v>2003</v>
      </c>
      <c r="M9" s="5"/>
      <c r="N9" s="4"/>
      <c r="P9" s="10"/>
      <c r="R9" s="8"/>
      <c r="S9" s="7"/>
      <c r="T9" s="7"/>
      <c r="U9" s="7"/>
      <c r="Y9" s="109">
        <v>1989</v>
      </c>
      <c r="Z9" s="4">
        <v>14.335000000000001</v>
      </c>
      <c r="AA9" s="4">
        <v>15.23</v>
      </c>
    </row>
    <row r="10" spans="1:27" x14ac:dyDescent="0.25">
      <c r="A10">
        <v>2004</v>
      </c>
      <c r="B10" s="100">
        <v>38196</v>
      </c>
      <c r="C10" s="23">
        <v>1480</v>
      </c>
      <c r="D10" s="4">
        <v>1.0100000000000051</v>
      </c>
      <c r="E10">
        <v>366</v>
      </c>
      <c r="F10" s="10">
        <f t="shared" si="1"/>
        <v>0.24977027027027154</v>
      </c>
      <c r="G10" s="24">
        <v>2004</v>
      </c>
      <c r="H10" s="21">
        <v>369</v>
      </c>
      <c r="I10" s="102">
        <v>0</v>
      </c>
      <c r="J10">
        <v>366</v>
      </c>
      <c r="K10" s="10">
        <f t="shared" si="0"/>
        <v>0</v>
      </c>
      <c r="L10" s="24">
        <v>2004</v>
      </c>
      <c r="M10" s="5"/>
      <c r="N10" s="4"/>
      <c r="P10" s="10"/>
      <c r="R10" s="8"/>
      <c r="S10" s="7"/>
      <c r="T10" s="7"/>
      <c r="U10" s="7"/>
      <c r="Y10" s="109">
        <v>1990</v>
      </c>
      <c r="Z10" s="4">
        <v>14.795</v>
      </c>
      <c r="AA10" s="4">
        <v>15.31</v>
      </c>
    </row>
    <row r="11" spans="1:27" x14ac:dyDescent="0.25">
      <c r="A11">
        <v>2005</v>
      </c>
      <c r="B11" s="100">
        <v>38559</v>
      </c>
      <c r="C11" s="23">
        <v>363</v>
      </c>
      <c r="D11" s="4">
        <v>-1.0000000000005116E-2</v>
      </c>
      <c r="E11">
        <v>365</v>
      </c>
      <c r="F11" s="10">
        <v>0</v>
      </c>
      <c r="G11" s="35">
        <v>2005</v>
      </c>
      <c r="H11" s="28">
        <v>363</v>
      </c>
      <c r="I11" s="103">
        <v>-6.0000000000002274E-2</v>
      </c>
      <c r="J11" s="7">
        <v>365</v>
      </c>
      <c r="K11" s="10">
        <v>0</v>
      </c>
      <c r="L11" s="35">
        <v>2005</v>
      </c>
      <c r="M11" s="5"/>
      <c r="N11" s="4"/>
      <c r="O11" s="4"/>
      <c r="P11" s="10"/>
      <c r="R11" s="8"/>
      <c r="S11" s="7"/>
      <c r="T11" s="7"/>
      <c r="U11" s="7"/>
      <c r="Y11" s="109">
        <v>1991</v>
      </c>
      <c r="Z11" s="4">
        <v>14.719999999999999</v>
      </c>
      <c r="AA11" s="4">
        <v>16.04</v>
      </c>
    </row>
    <row r="12" spans="1:27" x14ac:dyDescent="0.25">
      <c r="A12">
        <v>2006</v>
      </c>
      <c r="B12" s="100">
        <v>38921</v>
      </c>
      <c r="C12" s="23">
        <v>362</v>
      </c>
      <c r="D12" s="4">
        <v>1.0000000000005116E-2</v>
      </c>
      <c r="E12">
        <v>365</v>
      </c>
      <c r="F12" s="10">
        <v>0</v>
      </c>
      <c r="G12" s="24"/>
      <c r="H12" s="21"/>
      <c r="I12" s="102"/>
      <c r="K12" s="10"/>
      <c r="L12" s="24"/>
      <c r="M12" s="5"/>
      <c r="N12" s="4"/>
      <c r="P12" s="10"/>
      <c r="R12" s="8"/>
      <c r="S12" s="7"/>
      <c r="T12" s="7"/>
      <c r="U12" s="7"/>
      <c r="Y12" s="109">
        <v>1992</v>
      </c>
      <c r="Z12" s="4">
        <v>14.719999999999999</v>
      </c>
      <c r="AA12" s="4">
        <v>15.21</v>
      </c>
    </row>
    <row r="13" spans="1:27" x14ac:dyDescent="0.25">
      <c r="A13">
        <v>2006</v>
      </c>
      <c r="B13" s="100">
        <v>38989</v>
      </c>
      <c r="C13" s="23">
        <v>68</v>
      </c>
      <c r="D13" s="4">
        <v>0</v>
      </c>
      <c r="E13">
        <v>365</v>
      </c>
      <c r="F13" s="10">
        <f t="shared" si="1"/>
        <v>0</v>
      </c>
      <c r="G13" s="24">
        <v>2006</v>
      </c>
      <c r="H13" s="21">
        <v>430</v>
      </c>
      <c r="I13" s="102">
        <v>-9.9999999999980105E-3</v>
      </c>
      <c r="J13">
        <v>365</v>
      </c>
      <c r="K13" s="10">
        <v>0</v>
      </c>
      <c r="L13" s="24">
        <v>2006</v>
      </c>
      <c r="M13" s="5"/>
      <c r="N13" s="4"/>
      <c r="P13" s="10"/>
      <c r="R13" s="8"/>
      <c r="S13" s="7"/>
      <c r="T13" s="7"/>
      <c r="U13" s="7"/>
      <c r="Y13" s="109">
        <v>1993</v>
      </c>
      <c r="Z13" s="4">
        <v>14.635000000000002</v>
      </c>
      <c r="AA13" s="4">
        <v>15.219999999999999</v>
      </c>
    </row>
    <row r="14" spans="1:27" x14ac:dyDescent="0.25">
      <c r="A14">
        <v>2009</v>
      </c>
      <c r="B14" s="100">
        <v>40013</v>
      </c>
      <c r="C14" s="23"/>
      <c r="D14" s="4"/>
      <c r="F14" s="110"/>
      <c r="G14" s="24"/>
      <c r="H14" s="21"/>
      <c r="I14" s="102"/>
      <c r="K14" s="10"/>
      <c r="L14" s="24">
        <v>2009</v>
      </c>
      <c r="M14" s="24">
        <v>4355</v>
      </c>
      <c r="N14" s="4">
        <v>-0.14000000000000057</v>
      </c>
      <c r="O14">
        <v>365</v>
      </c>
      <c r="P14" s="10">
        <v>0</v>
      </c>
      <c r="R14" s="8"/>
      <c r="S14" s="7"/>
      <c r="T14" s="7"/>
      <c r="U14" s="7"/>
      <c r="Y14" s="109">
        <v>1994</v>
      </c>
      <c r="Z14" s="4">
        <v>14.655000000000001</v>
      </c>
      <c r="AA14" s="4">
        <v>15.34</v>
      </c>
    </row>
    <row r="15" spans="1:27" x14ac:dyDescent="0.25">
      <c r="A15">
        <v>2009</v>
      </c>
      <c r="B15" s="100">
        <v>40086</v>
      </c>
      <c r="C15" s="23">
        <v>1097</v>
      </c>
      <c r="D15" s="4">
        <v>-1.0000000000005116E-2</v>
      </c>
      <c r="E15">
        <v>365</v>
      </c>
      <c r="F15" s="10">
        <v>0</v>
      </c>
      <c r="G15" s="24">
        <v>2009</v>
      </c>
      <c r="H15" s="21">
        <v>1097</v>
      </c>
      <c r="I15" s="102">
        <v>0.46999999999999886</v>
      </c>
      <c r="J15">
        <v>365</v>
      </c>
      <c r="K15" s="10">
        <f t="shared" si="0"/>
        <v>0.15638103919781185</v>
      </c>
      <c r="L15" s="24">
        <v>2009</v>
      </c>
      <c r="M15" s="24">
        <v>73</v>
      </c>
      <c r="N15" s="4">
        <v>0</v>
      </c>
      <c r="O15">
        <v>365</v>
      </c>
      <c r="P15" s="10">
        <f t="shared" si="2"/>
        <v>0</v>
      </c>
      <c r="R15" s="8"/>
      <c r="S15" s="7"/>
      <c r="T15" s="7"/>
      <c r="U15" s="7"/>
      <c r="Y15" s="109">
        <v>1995</v>
      </c>
      <c r="Z15" s="4">
        <v>14.75</v>
      </c>
      <c r="AA15" s="4">
        <v>15.58</v>
      </c>
    </row>
    <row r="16" spans="1:27" x14ac:dyDescent="0.25">
      <c r="A16">
        <v>2010</v>
      </c>
      <c r="B16" s="100">
        <v>40382</v>
      </c>
      <c r="C16" s="23">
        <v>296</v>
      </c>
      <c r="D16" s="4">
        <v>9.0000000000003411E-2</v>
      </c>
      <c r="E16">
        <v>365</v>
      </c>
      <c r="F16" s="10">
        <f t="shared" si="1"/>
        <v>0.11097972972973394</v>
      </c>
      <c r="G16" s="24">
        <v>2010</v>
      </c>
      <c r="H16" s="21">
        <v>296</v>
      </c>
      <c r="I16" s="102">
        <v>0.10999999999999943</v>
      </c>
      <c r="J16">
        <v>365</v>
      </c>
      <c r="K16" s="10">
        <f t="shared" si="0"/>
        <v>0.13564189189189119</v>
      </c>
      <c r="L16" s="24">
        <v>2010</v>
      </c>
      <c r="M16" s="24">
        <v>296</v>
      </c>
      <c r="N16" s="4">
        <v>7.0000000000000284E-2</v>
      </c>
      <c r="O16">
        <v>365</v>
      </c>
      <c r="P16" s="10">
        <f t="shared" si="2"/>
        <v>8.6317567567567921E-2</v>
      </c>
      <c r="R16" s="10"/>
      <c r="S16" s="7"/>
      <c r="T16" s="7"/>
      <c r="U16" s="7"/>
      <c r="Y16" s="109">
        <v>1996</v>
      </c>
      <c r="Z16" s="4">
        <v>14.524999999999999</v>
      </c>
      <c r="AA16" s="4">
        <v>15.280000000000001</v>
      </c>
    </row>
    <row r="17" spans="1:27" x14ac:dyDescent="0.25">
      <c r="A17">
        <v>2011</v>
      </c>
      <c r="B17" s="101">
        <v>40800</v>
      </c>
      <c r="C17" s="12">
        <v>418</v>
      </c>
      <c r="D17" s="12">
        <v>0</v>
      </c>
      <c r="E17" s="21">
        <v>365</v>
      </c>
      <c r="F17" s="10">
        <f>E17*D17/C17</f>
        <v>0</v>
      </c>
      <c r="G17" s="8">
        <v>2011</v>
      </c>
      <c r="H17" s="7">
        <v>418</v>
      </c>
      <c r="I17" s="7">
        <v>9.9999999999980105E-3</v>
      </c>
      <c r="J17" s="21">
        <v>365</v>
      </c>
      <c r="K17" s="10">
        <f t="shared" ref="K17" si="3">J17*I17/H17</f>
        <v>8.7320574162662052E-3</v>
      </c>
      <c r="L17" s="8">
        <v>2011</v>
      </c>
      <c r="M17" s="16">
        <v>418</v>
      </c>
      <c r="N17" s="16">
        <v>0.89476195233991296</v>
      </c>
      <c r="O17" s="34">
        <v>365</v>
      </c>
      <c r="P17" s="17">
        <f>O17*N17/M17</f>
        <v>0.78131127417241197</v>
      </c>
      <c r="Q17" s="3"/>
      <c r="R17" s="9"/>
      <c r="S17" s="9"/>
      <c r="T17" s="9"/>
      <c r="U17" s="10"/>
      <c r="Y17" s="109">
        <v>1997</v>
      </c>
      <c r="Z17" s="4">
        <v>14.685</v>
      </c>
      <c r="AA17" s="4">
        <v>15.5</v>
      </c>
    </row>
    <row r="18" spans="1:27" x14ac:dyDescent="0.25">
      <c r="A18">
        <v>2012</v>
      </c>
      <c r="B18" s="101">
        <v>41198</v>
      </c>
      <c r="C18" s="12">
        <v>398</v>
      </c>
      <c r="D18" s="12">
        <v>9.9999999999994316E-2</v>
      </c>
      <c r="E18" s="21">
        <v>366</v>
      </c>
      <c r="F18" s="10">
        <f>E18*D18/C18</f>
        <v>9.1959798994969644E-2</v>
      </c>
      <c r="G18" s="8">
        <v>2012</v>
      </c>
      <c r="H18" s="7">
        <v>398</v>
      </c>
      <c r="I18" s="7">
        <v>2.0000000000003126E-2</v>
      </c>
      <c r="J18" s="21">
        <v>366</v>
      </c>
      <c r="K18" s="10">
        <f>J18*I18/H18</f>
        <v>1.839195979899785E-2</v>
      </c>
      <c r="L18" s="8">
        <v>2012</v>
      </c>
      <c r="M18" s="9">
        <v>398</v>
      </c>
      <c r="N18" s="9">
        <v>6.0000000000002274E-2</v>
      </c>
      <c r="O18" s="28">
        <v>366</v>
      </c>
      <c r="P18" s="10">
        <f>O18*N18/M18</f>
        <v>5.5175879396987017E-2</v>
      </c>
      <c r="Q18" s="3"/>
      <c r="R18" s="9"/>
      <c r="S18" s="9"/>
      <c r="T18" s="9"/>
      <c r="U18" s="10"/>
      <c r="Y18" s="109">
        <v>1998</v>
      </c>
      <c r="Z18" s="4">
        <v>14.68</v>
      </c>
      <c r="AA18" s="4">
        <v>15.39</v>
      </c>
    </row>
    <row r="19" spans="1:27" x14ac:dyDescent="0.25">
      <c r="A19">
        <v>2013</v>
      </c>
      <c r="B19" s="101">
        <v>41463</v>
      </c>
      <c r="C19" s="12">
        <v>265</v>
      </c>
      <c r="D19" s="12">
        <v>9.0000000000003411E-2</v>
      </c>
      <c r="E19" s="21">
        <v>365</v>
      </c>
      <c r="F19" s="10">
        <f t="shared" ref="F19:F21" si="4">E19*D19/C19</f>
        <v>0.12396226415094809</v>
      </c>
      <c r="G19" s="8">
        <v>2013</v>
      </c>
      <c r="H19" s="7">
        <v>265</v>
      </c>
      <c r="I19" s="7">
        <v>8.9999999999996305E-2</v>
      </c>
      <c r="J19" s="21">
        <v>365</v>
      </c>
      <c r="K19" s="10">
        <f>J19*I19/H19</f>
        <v>0.12396226415093831</v>
      </c>
      <c r="L19" s="8">
        <v>2013</v>
      </c>
      <c r="M19" s="9">
        <v>265</v>
      </c>
      <c r="N19" s="9">
        <v>7.9999999999998295E-2</v>
      </c>
      <c r="O19" s="28">
        <v>365</v>
      </c>
      <c r="P19" s="10">
        <f t="shared" ref="P19:P27" si="5">O19*N19/M19</f>
        <v>0.11018867924528067</v>
      </c>
      <c r="Q19" s="3"/>
      <c r="R19" s="9"/>
      <c r="S19" s="9"/>
      <c r="T19" s="9"/>
      <c r="U19" s="10"/>
      <c r="Y19" s="109">
        <v>1999</v>
      </c>
      <c r="Z19" s="4">
        <v>14.654999999999999</v>
      </c>
      <c r="AA19" s="4">
        <v>15.25</v>
      </c>
    </row>
    <row r="20" spans="1:27" x14ac:dyDescent="0.25">
      <c r="A20">
        <v>2014</v>
      </c>
      <c r="B20" s="101">
        <v>41832</v>
      </c>
      <c r="C20" s="12">
        <v>369</v>
      </c>
      <c r="D20" s="12">
        <v>0</v>
      </c>
      <c r="E20" s="21">
        <v>365</v>
      </c>
      <c r="F20" s="10">
        <f t="shared" si="4"/>
        <v>0</v>
      </c>
      <c r="G20" s="8">
        <v>2014</v>
      </c>
      <c r="H20" s="7">
        <v>369</v>
      </c>
      <c r="I20" s="7">
        <v>0</v>
      </c>
      <c r="J20" s="28">
        <v>365</v>
      </c>
      <c r="K20" s="10">
        <f t="shared" ref="K20:K27" si="6">J20*I20/H20</f>
        <v>0</v>
      </c>
      <c r="L20" s="8">
        <v>2014</v>
      </c>
      <c r="M20" s="16">
        <v>369</v>
      </c>
      <c r="N20" s="16">
        <v>-0.48476195233991604</v>
      </c>
      <c r="O20" s="34">
        <v>365</v>
      </c>
      <c r="P20" s="17"/>
      <c r="Q20" s="3"/>
      <c r="R20" s="9"/>
      <c r="S20" s="9"/>
      <c r="T20" s="9"/>
      <c r="U20" s="10"/>
      <c r="Y20" s="109">
        <v>2000</v>
      </c>
      <c r="Z20" s="4">
        <v>14.75</v>
      </c>
      <c r="AA20" s="4">
        <v>15.31</v>
      </c>
    </row>
    <row r="21" spans="1:27" x14ac:dyDescent="0.25">
      <c r="A21">
        <v>2015</v>
      </c>
      <c r="B21" s="101">
        <v>42201</v>
      </c>
      <c r="C21" s="12">
        <v>369</v>
      </c>
      <c r="D21" s="12">
        <v>0</v>
      </c>
      <c r="E21" s="21">
        <v>365</v>
      </c>
      <c r="F21" s="10">
        <f t="shared" si="4"/>
        <v>0</v>
      </c>
      <c r="G21" s="8">
        <v>2015</v>
      </c>
      <c r="H21" s="7">
        <v>369</v>
      </c>
      <c r="I21" s="7">
        <v>0</v>
      </c>
      <c r="J21" s="28">
        <v>365</v>
      </c>
      <c r="K21" s="10">
        <f t="shared" si="6"/>
        <v>0</v>
      </c>
      <c r="L21" s="8">
        <v>2015</v>
      </c>
      <c r="M21" s="16">
        <v>369</v>
      </c>
      <c r="N21" s="16">
        <v>-7.0000000000000284E-2</v>
      </c>
      <c r="O21" s="34">
        <v>365</v>
      </c>
      <c r="P21" s="17"/>
      <c r="Q21" s="3"/>
      <c r="R21" s="9"/>
      <c r="S21" s="9"/>
      <c r="T21" s="9"/>
      <c r="U21" s="10"/>
      <c r="Y21" s="109">
        <v>2001</v>
      </c>
      <c r="Z21" s="4">
        <v>14.895</v>
      </c>
      <c r="AA21" s="4">
        <v>15.600000000000001</v>
      </c>
    </row>
    <row r="22" spans="1:27" x14ac:dyDescent="0.25">
      <c r="A22">
        <v>2016</v>
      </c>
      <c r="B22" s="101">
        <v>42629</v>
      </c>
      <c r="C22" s="12"/>
      <c r="D22" s="12"/>
      <c r="E22" s="21"/>
      <c r="F22" s="10"/>
      <c r="G22" s="8">
        <v>2016</v>
      </c>
      <c r="H22" s="7">
        <v>428</v>
      </c>
      <c r="I22" s="7">
        <v>0</v>
      </c>
      <c r="J22" s="28">
        <v>366</v>
      </c>
      <c r="K22" s="10">
        <f>J22*I22/H22</f>
        <v>0</v>
      </c>
      <c r="L22" s="8">
        <v>2016</v>
      </c>
      <c r="M22" s="19">
        <v>428</v>
      </c>
      <c r="N22" s="16">
        <v>-7.9999999999998295E-2</v>
      </c>
      <c r="O22" s="34">
        <v>366</v>
      </c>
      <c r="P22" s="17"/>
      <c r="Q22" s="3"/>
      <c r="R22" s="9"/>
      <c r="S22" s="9"/>
      <c r="T22" s="9"/>
      <c r="U22" s="10"/>
      <c r="Y22" s="109">
        <v>2002</v>
      </c>
      <c r="Z22" s="4">
        <v>14.825000000000001</v>
      </c>
      <c r="AA22" s="4">
        <v>15.3</v>
      </c>
    </row>
    <row r="23" spans="1:27" x14ac:dyDescent="0.25">
      <c r="A23">
        <v>2016</v>
      </c>
      <c r="B23" s="101">
        <v>42655</v>
      </c>
      <c r="C23" s="7">
        <v>454</v>
      </c>
      <c r="D23" s="9">
        <v>-0.11000000000001364</v>
      </c>
      <c r="E23" s="28">
        <v>366</v>
      </c>
      <c r="F23" s="10">
        <v>0</v>
      </c>
      <c r="G23" s="8">
        <v>2016</v>
      </c>
      <c r="H23" s="7">
        <v>26</v>
      </c>
      <c r="I23" s="7">
        <v>9.9999999999980105E-3</v>
      </c>
      <c r="J23" s="28">
        <v>365</v>
      </c>
      <c r="K23" s="10">
        <f t="shared" si="6"/>
        <v>0.14038461538458746</v>
      </c>
      <c r="L23" s="8">
        <v>2016</v>
      </c>
      <c r="M23" s="16">
        <v>26</v>
      </c>
      <c r="N23" s="16">
        <v>-4.9999999999997158E-2</v>
      </c>
      <c r="O23" s="34">
        <v>365</v>
      </c>
      <c r="P23" s="17"/>
      <c r="R23" s="7"/>
      <c r="S23" s="7"/>
      <c r="T23" s="7"/>
      <c r="U23" s="7"/>
      <c r="Y23" s="109">
        <v>2003</v>
      </c>
      <c r="Z23" s="4">
        <v>14.89</v>
      </c>
      <c r="AA23" s="4">
        <v>15.370000000000001</v>
      </c>
    </row>
    <row r="24" spans="1:27" x14ac:dyDescent="0.25">
      <c r="A24">
        <v>2019</v>
      </c>
      <c r="B24" s="101">
        <v>43691</v>
      </c>
      <c r="E24" s="21"/>
      <c r="F24" s="10"/>
      <c r="G24" s="8">
        <v>2019</v>
      </c>
      <c r="H24" s="7"/>
      <c r="I24" s="7"/>
      <c r="J24" s="28"/>
      <c r="K24" s="10"/>
      <c r="L24" s="8">
        <v>2019</v>
      </c>
      <c r="M24" s="9">
        <v>1036</v>
      </c>
      <c r="N24" s="9">
        <v>0.14999999999999858</v>
      </c>
      <c r="O24" s="28">
        <v>365</v>
      </c>
      <c r="P24" s="10">
        <f t="shared" si="5"/>
        <v>5.2847490347489846E-2</v>
      </c>
      <c r="R24" s="5"/>
      <c r="Y24" s="109">
        <v>2004</v>
      </c>
      <c r="Z24" s="4">
        <v>14.805</v>
      </c>
      <c r="AA24" s="4">
        <v>15.32</v>
      </c>
    </row>
    <row r="25" spans="1:27" x14ac:dyDescent="0.25">
      <c r="A25">
        <v>2019</v>
      </c>
      <c r="B25" s="101">
        <v>43747</v>
      </c>
      <c r="C25">
        <v>1092</v>
      </c>
      <c r="D25" s="4">
        <v>0.11000000000001364</v>
      </c>
      <c r="E25" s="21">
        <v>366</v>
      </c>
      <c r="F25" s="10">
        <f>E25*D25/C25</f>
        <v>3.6868131868136443E-2</v>
      </c>
      <c r="G25" s="8">
        <v>2019</v>
      </c>
      <c r="H25" s="7">
        <v>1092</v>
      </c>
      <c r="I25" s="9">
        <v>0.27000000000000313</v>
      </c>
      <c r="J25" s="28">
        <v>366</v>
      </c>
      <c r="K25" s="10">
        <f t="shared" si="6"/>
        <v>9.0494505494506536E-2</v>
      </c>
      <c r="L25" s="8">
        <v>2019</v>
      </c>
      <c r="M25" s="7"/>
      <c r="N25" s="9"/>
      <c r="O25" s="21"/>
      <c r="P25" s="10"/>
      <c r="Y25" s="109">
        <v>2005</v>
      </c>
      <c r="Z25" s="4">
        <v>14.93</v>
      </c>
      <c r="AA25" s="4">
        <v>15.77</v>
      </c>
    </row>
    <row r="26" spans="1:27" x14ac:dyDescent="0.25">
      <c r="A26">
        <v>2022</v>
      </c>
      <c r="B26" s="101">
        <v>44845</v>
      </c>
      <c r="C26">
        <v>1098</v>
      </c>
      <c r="D26" s="4">
        <v>7.0000000000000007E-2</v>
      </c>
      <c r="E26" s="21">
        <v>366</v>
      </c>
      <c r="F26" s="10">
        <f>E26*D26/C26</f>
        <v>2.3333333333333334E-2</v>
      </c>
      <c r="G26" s="8">
        <v>2022</v>
      </c>
      <c r="H26" s="7">
        <v>1098</v>
      </c>
      <c r="I26" s="9">
        <v>-0.11</v>
      </c>
      <c r="J26" s="28">
        <v>366</v>
      </c>
      <c r="K26" s="10">
        <v>0</v>
      </c>
      <c r="L26" s="8">
        <v>2022</v>
      </c>
      <c r="M26" s="7"/>
      <c r="N26" s="9"/>
      <c r="O26" s="21"/>
      <c r="P26" s="10"/>
      <c r="Y26" s="109">
        <v>2006</v>
      </c>
      <c r="Z26" s="4">
        <v>14.81</v>
      </c>
      <c r="AA26" s="4">
        <v>15.5</v>
      </c>
    </row>
    <row r="27" spans="1:27" x14ac:dyDescent="0.25">
      <c r="A27">
        <v>2023</v>
      </c>
      <c r="B27" s="100">
        <v>45203</v>
      </c>
      <c r="C27">
        <f>B27-B26</f>
        <v>358</v>
      </c>
      <c r="D27" s="4">
        <v>-7.0000000000000007E-2</v>
      </c>
      <c r="E27" s="21">
        <v>365</v>
      </c>
      <c r="F27" s="10">
        <v>0</v>
      </c>
      <c r="G27" s="8">
        <v>2023</v>
      </c>
      <c r="H27">
        <f>B27-B25</f>
        <v>1456</v>
      </c>
      <c r="I27" s="9">
        <v>0.28999999999999998</v>
      </c>
      <c r="J27" s="28">
        <v>366</v>
      </c>
      <c r="K27" s="10">
        <f t="shared" si="6"/>
        <v>7.2898351648351636E-2</v>
      </c>
      <c r="L27" s="8">
        <v>2023</v>
      </c>
      <c r="M27" s="7">
        <f>B27-B24</f>
        <v>1512</v>
      </c>
      <c r="N27" s="9">
        <v>0.77</v>
      </c>
      <c r="O27" s="21">
        <v>366</v>
      </c>
      <c r="P27" s="10">
        <f t="shared" si="5"/>
        <v>0.18638888888888888</v>
      </c>
      <c r="Y27" s="109">
        <v>2007</v>
      </c>
      <c r="Z27" s="4">
        <v>14.79</v>
      </c>
      <c r="AA27" s="4">
        <v>15.41</v>
      </c>
    </row>
    <row r="28" spans="1:27" x14ac:dyDescent="0.25"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Y28" s="109">
        <v>2008</v>
      </c>
      <c r="Z28" s="4">
        <v>14.73</v>
      </c>
      <c r="AA28" s="4">
        <v>15.690000000000001</v>
      </c>
    </row>
    <row r="29" spans="1:27" x14ac:dyDescent="0.25">
      <c r="E29" s="3" t="s">
        <v>23</v>
      </c>
      <c r="F29" s="5">
        <f>AVERAGE(F8:F25)</f>
        <v>4.3824299643861406E-2</v>
      </c>
      <c r="G29" s="4"/>
      <c r="H29" s="4"/>
      <c r="I29" s="4"/>
      <c r="J29" s="4"/>
      <c r="K29" s="5">
        <f>AVERAGE(K8:K26)</f>
        <v>4.4177601166470792E-2</v>
      </c>
      <c r="L29" s="7"/>
      <c r="M29" s="7"/>
      <c r="N29" s="7"/>
      <c r="O29" s="7"/>
      <c r="P29" s="10">
        <f>(P16+P18+P19+P24)/4</f>
        <v>7.6132404139331367E-2</v>
      </c>
      <c r="Y29" s="109">
        <v>2009</v>
      </c>
      <c r="Z29" s="4">
        <v>14.705</v>
      </c>
      <c r="AA29" s="4">
        <v>15.45</v>
      </c>
    </row>
    <row r="30" spans="1:27" x14ac:dyDescent="0.25"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Y30" s="109">
        <v>2010</v>
      </c>
      <c r="Z30" s="4">
        <v>14.365</v>
      </c>
      <c r="AA30" s="4">
        <v>15.600000000000001</v>
      </c>
    </row>
    <row r="31" spans="1:27" x14ac:dyDescent="0.25">
      <c r="E31" s="3" t="s">
        <v>27</v>
      </c>
      <c r="F31" s="5">
        <f>MAX(F8:F25)</f>
        <v>0.24977027027027154</v>
      </c>
      <c r="K31" s="5">
        <f>MAX(K8:K26)</f>
        <v>0.15638103919781185</v>
      </c>
      <c r="P31" s="3">
        <v>0.11</v>
      </c>
      <c r="Y31" s="109">
        <v>2011</v>
      </c>
      <c r="Z31" s="4">
        <v>14.405000000000001</v>
      </c>
      <c r="AA31" s="4">
        <v>15.49</v>
      </c>
    </row>
    <row r="32" spans="1:27" x14ac:dyDescent="0.25">
      <c r="Y32" s="109">
        <v>2012</v>
      </c>
      <c r="Z32" s="4">
        <v>14.625</v>
      </c>
      <c r="AA32" s="4">
        <v>15.52</v>
      </c>
    </row>
    <row r="33" spans="1:27" x14ac:dyDescent="0.25">
      <c r="F33" t="s">
        <v>50</v>
      </c>
      <c r="L33" t="s">
        <v>50</v>
      </c>
      <c r="R33" t="s">
        <v>50</v>
      </c>
      <c r="Y33" s="109">
        <v>2013</v>
      </c>
      <c r="Z33" s="4">
        <v>14.755000000000001</v>
      </c>
      <c r="AA33" s="4">
        <v>15.370000000000001</v>
      </c>
    </row>
    <row r="34" spans="1:27" x14ac:dyDescent="0.25">
      <c r="C34" s="3" t="s">
        <v>1</v>
      </c>
      <c r="H34" s="3" t="s">
        <v>2</v>
      </c>
      <c r="M34" s="3" t="s">
        <v>3</v>
      </c>
      <c r="Y34" s="109">
        <v>2014</v>
      </c>
      <c r="Z34" s="4">
        <v>14.52</v>
      </c>
      <c r="AA34" s="4">
        <v>15.45</v>
      </c>
    </row>
    <row r="35" spans="1:27" x14ac:dyDescent="0.25">
      <c r="A35" s="3">
        <v>1987</v>
      </c>
      <c r="B35" s="100">
        <v>31955</v>
      </c>
      <c r="D35" s="4">
        <v>0</v>
      </c>
      <c r="F35" s="3">
        <v>0</v>
      </c>
      <c r="G35" s="3">
        <v>1987</v>
      </c>
      <c r="H35" s="100">
        <v>31955</v>
      </c>
      <c r="I35" s="7"/>
      <c r="J35">
        <v>0</v>
      </c>
      <c r="L35" s="3">
        <v>0</v>
      </c>
      <c r="M35" s="3">
        <v>1987</v>
      </c>
      <c r="N35" s="100">
        <v>31955</v>
      </c>
      <c r="P35" s="4">
        <v>0</v>
      </c>
      <c r="R35" s="3">
        <v>0</v>
      </c>
      <c r="Y35" s="109">
        <v>2015</v>
      </c>
      <c r="Z35" s="4">
        <v>14.55</v>
      </c>
      <c r="AA35" s="4">
        <v>15.18</v>
      </c>
    </row>
    <row r="36" spans="1:27" x14ac:dyDescent="0.25">
      <c r="A36" s="3">
        <v>1990</v>
      </c>
      <c r="B36" s="100">
        <v>33016</v>
      </c>
      <c r="D36" s="4">
        <v>1.210000000000008</v>
      </c>
      <c r="F36" s="5">
        <f>F35+D36</f>
        <v>1.210000000000008</v>
      </c>
      <c r="G36" s="24">
        <v>1990</v>
      </c>
      <c r="H36" s="100">
        <v>33016</v>
      </c>
      <c r="I36" s="103"/>
      <c r="J36" s="102">
        <v>0.21999999999999886</v>
      </c>
      <c r="L36" s="5">
        <f>L35+J36</f>
        <v>0.21999999999999886</v>
      </c>
      <c r="M36" s="24">
        <v>1990</v>
      </c>
      <c r="N36" s="100">
        <v>33016</v>
      </c>
      <c r="P36" s="4">
        <v>0.25</v>
      </c>
      <c r="R36" s="5">
        <f>R35+P36</f>
        <v>0.25</v>
      </c>
      <c r="Y36" s="109">
        <v>2016</v>
      </c>
      <c r="Z36" s="4">
        <v>14.785</v>
      </c>
      <c r="AA36" s="4">
        <v>15.600000000000001</v>
      </c>
    </row>
    <row r="37" spans="1:27" x14ac:dyDescent="0.25">
      <c r="A37" s="3">
        <v>1995</v>
      </c>
      <c r="B37" s="100">
        <v>34902</v>
      </c>
      <c r="D37" s="4">
        <v>2.1299999999999812</v>
      </c>
      <c r="F37" s="5">
        <f t="shared" ref="F37:F52" si="7">F36+D37</f>
        <v>3.3399999999999892</v>
      </c>
      <c r="G37" s="24">
        <v>1995</v>
      </c>
      <c r="H37" s="100">
        <v>34902</v>
      </c>
      <c r="I37" s="103"/>
      <c r="J37" s="102">
        <v>0.13000000000000256</v>
      </c>
      <c r="L37" s="5">
        <f t="shared" ref="L37:L53" si="8">L36+J37</f>
        <v>0.35000000000000142</v>
      </c>
      <c r="M37" s="24">
        <v>1995</v>
      </c>
      <c r="N37" s="100">
        <v>34902</v>
      </c>
      <c r="P37" s="4">
        <v>0.20000000000000284</v>
      </c>
      <c r="R37" s="5">
        <f t="shared" ref="R37:R50" si="9">R36+P37</f>
        <v>0.45000000000000284</v>
      </c>
      <c r="Y37" s="109">
        <v>2017</v>
      </c>
      <c r="Z37" s="4">
        <v>14.78</v>
      </c>
      <c r="AA37" s="4">
        <v>15.45</v>
      </c>
    </row>
    <row r="38" spans="1:27" x14ac:dyDescent="0.25">
      <c r="A38" s="3">
        <v>1999</v>
      </c>
      <c r="B38" s="100">
        <v>36349</v>
      </c>
      <c r="D38" s="4">
        <v>0.11000000000001364</v>
      </c>
      <c r="F38" s="5">
        <f t="shared" si="7"/>
        <v>3.4500000000000028</v>
      </c>
      <c r="G38" s="24">
        <v>1999</v>
      </c>
      <c r="H38" s="100">
        <v>36349</v>
      </c>
      <c r="I38" s="103"/>
      <c r="J38" s="102">
        <v>1.9999999999996021E-2</v>
      </c>
      <c r="L38" s="5">
        <f t="shared" si="8"/>
        <v>0.36999999999999744</v>
      </c>
      <c r="M38" s="24">
        <v>1999</v>
      </c>
      <c r="N38" s="100">
        <v>36349</v>
      </c>
      <c r="P38" s="4">
        <v>0.10999999999999943</v>
      </c>
      <c r="R38" s="5">
        <f t="shared" si="9"/>
        <v>0.56000000000000227</v>
      </c>
      <c r="Y38" s="109">
        <v>2018</v>
      </c>
      <c r="Z38" s="4">
        <v>14.64</v>
      </c>
      <c r="AA38" s="4">
        <v>15.2</v>
      </c>
    </row>
    <row r="39" spans="1:27" x14ac:dyDescent="0.25">
      <c r="A39" s="3">
        <v>2000</v>
      </c>
      <c r="B39" s="100">
        <v>36716</v>
      </c>
      <c r="D39" s="4">
        <v>9.9999999999909051E-3</v>
      </c>
      <c r="F39" s="5">
        <f t="shared" si="7"/>
        <v>3.4599999999999937</v>
      </c>
      <c r="G39" s="24">
        <v>2000</v>
      </c>
      <c r="H39" s="100">
        <v>36716</v>
      </c>
      <c r="I39" s="103"/>
      <c r="J39" s="103">
        <v>-1.9999999999996021E-2</v>
      </c>
      <c r="L39" s="5">
        <f t="shared" si="8"/>
        <v>0.35000000000000142</v>
      </c>
      <c r="M39" s="24">
        <v>2000</v>
      </c>
      <c r="N39" s="100">
        <v>36716</v>
      </c>
      <c r="P39" s="4">
        <v>0.46000000000000085</v>
      </c>
      <c r="R39" s="5">
        <f t="shared" si="9"/>
        <v>1.0200000000000031</v>
      </c>
      <c r="Y39" s="109"/>
      <c r="Z39" s="4"/>
      <c r="AA39" s="4"/>
    </row>
    <row r="40" spans="1:27" x14ac:dyDescent="0.25">
      <c r="A40" s="3">
        <v>2004</v>
      </c>
      <c r="B40" s="100">
        <v>38196</v>
      </c>
      <c r="D40" s="4">
        <v>1.0100000000000051</v>
      </c>
      <c r="F40" s="5">
        <f t="shared" si="7"/>
        <v>4.4699999999999989</v>
      </c>
      <c r="G40" s="24">
        <v>2003</v>
      </c>
      <c r="H40" s="100">
        <v>37827</v>
      </c>
      <c r="I40" s="103"/>
      <c r="J40" s="102">
        <v>0.10000000000000142</v>
      </c>
      <c r="L40" s="5">
        <f t="shared" si="8"/>
        <v>0.45000000000000284</v>
      </c>
      <c r="M40" s="24">
        <v>2009</v>
      </c>
      <c r="N40" s="100">
        <v>40013</v>
      </c>
      <c r="P40" s="4">
        <v>-0.14000000000000057</v>
      </c>
      <c r="R40" s="5">
        <f t="shared" si="9"/>
        <v>0.88000000000000256</v>
      </c>
      <c r="Y40" s="109"/>
      <c r="Z40" s="4"/>
      <c r="AA40" s="4"/>
    </row>
    <row r="41" spans="1:27" x14ac:dyDescent="0.25">
      <c r="A41" s="3">
        <v>2005</v>
      </c>
      <c r="B41" s="100">
        <v>38559</v>
      </c>
      <c r="D41" s="9">
        <v>-1.0000000000005116E-2</v>
      </c>
      <c r="F41" s="5">
        <f t="shared" si="7"/>
        <v>4.4599999999999937</v>
      </c>
      <c r="G41" s="24">
        <v>2004</v>
      </c>
      <c r="H41" s="100">
        <v>38196</v>
      </c>
      <c r="I41" s="103"/>
      <c r="J41" s="102">
        <v>0</v>
      </c>
      <c r="L41" s="5">
        <f t="shared" si="8"/>
        <v>0.45000000000000284</v>
      </c>
      <c r="M41" s="24">
        <v>2010</v>
      </c>
      <c r="N41" s="100">
        <v>40382</v>
      </c>
      <c r="P41" s="4">
        <v>7.0000000000000284E-2</v>
      </c>
      <c r="R41" s="5">
        <f t="shared" si="9"/>
        <v>0.95000000000000284</v>
      </c>
      <c r="Y41" s="109"/>
      <c r="Z41" s="4"/>
      <c r="AA41" s="4"/>
    </row>
    <row r="42" spans="1:27" x14ac:dyDescent="0.25">
      <c r="A42" s="3">
        <v>2006</v>
      </c>
      <c r="B42" s="100">
        <v>38921</v>
      </c>
      <c r="D42" s="9">
        <v>1.0000000000005116E-2</v>
      </c>
      <c r="F42" s="5">
        <f t="shared" si="7"/>
        <v>4.4699999999999989</v>
      </c>
      <c r="G42" s="24">
        <v>2006</v>
      </c>
      <c r="H42" s="100">
        <v>38989</v>
      </c>
      <c r="I42" s="103"/>
      <c r="J42" s="103">
        <v>-9.9999999999980105E-3</v>
      </c>
      <c r="L42" s="5">
        <f t="shared" si="8"/>
        <v>0.44000000000000483</v>
      </c>
      <c r="M42" s="24">
        <v>2011</v>
      </c>
      <c r="N42" s="101">
        <v>40800</v>
      </c>
      <c r="P42" s="16">
        <v>0.89476195233991263</v>
      </c>
      <c r="R42" s="5">
        <f t="shared" si="9"/>
        <v>1.8447619523399155</v>
      </c>
      <c r="Y42" s="109"/>
      <c r="Z42" s="4"/>
      <c r="AA42" s="4"/>
    </row>
    <row r="43" spans="1:27" x14ac:dyDescent="0.25">
      <c r="A43" s="3">
        <v>2009</v>
      </c>
      <c r="B43" s="100">
        <v>40086</v>
      </c>
      <c r="D43" s="9">
        <v>-1.0000000000005116E-2</v>
      </c>
      <c r="F43" s="5">
        <f t="shared" si="7"/>
        <v>4.4599999999999937</v>
      </c>
      <c r="G43" s="24">
        <v>2009</v>
      </c>
      <c r="H43" s="100">
        <v>40086</v>
      </c>
      <c r="I43" s="103"/>
      <c r="J43" s="102">
        <v>0.46999999999999886</v>
      </c>
      <c r="L43" s="5">
        <f t="shared" si="8"/>
        <v>0.91000000000000369</v>
      </c>
      <c r="M43" s="24">
        <v>2012</v>
      </c>
      <c r="N43" s="101">
        <v>41198</v>
      </c>
      <c r="P43" s="9">
        <v>6.0000000000002274E-2</v>
      </c>
      <c r="R43" s="5">
        <f t="shared" si="9"/>
        <v>1.9047619523399177</v>
      </c>
      <c r="Y43" s="109"/>
      <c r="Z43" s="4"/>
      <c r="AA43" s="4"/>
    </row>
    <row r="44" spans="1:27" x14ac:dyDescent="0.25">
      <c r="A44" s="3">
        <v>2010</v>
      </c>
      <c r="B44" s="100">
        <v>40382</v>
      </c>
      <c r="D44" s="9">
        <v>9.0000000000003411E-2</v>
      </c>
      <c r="F44" s="5">
        <f t="shared" si="7"/>
        <v>4.5499999999999972</v>
      </c>
      <c r="G44" s="24">
        <v>2010</v>
      </c>
      <c r="H44" s="100">
        <v>40382</v>
      </c>
      <c r="I44" s="103"/>
      <c r="J44" s="102">
        <v>0.10999999999999943</v>
      </c>
      <c r="L44" s="5">
        <f t="shared" si="8"/>
        <v>1.0200000000000031</v>
      </c>
      <c r="M44" s="24">
        <v>2013</v>
      </c>
      <c r="N44" s="101">
        <v>41463</v>
      </c>
      <c r="P44" s="9">
        <v>7.9999999999998295E-2</v>
      </c>
      <c r="R44" s="5">
        <f t="shared" si="9"/>
        <v>1.984761952339916</v>
      </c>
      <c r="Y44" s="109"/>
      <c r="Z44" s="4"/>
      <c r="AA44" s="4"/>
    </row>
    <row r="45" spans="1:27" x14ac:dyDescent="0.25">
      <c r="A45" s="3">
        <v>2011</v>
      </c>
      <c r="B45" s="101">
        <v>40800</v>
      </c>
      <c r="D45" s="12">
        <v>0</v>
      </c>
      <c r="F45" s="5">
        <f t="shared" si="7"/>
        <v>4.5499999999999972</v>
      </c>
      <c r="G45" s="24">
        <v>2011</v>
      </c>
      <c r="H45" s="101">
        <v>40800</v>
      </c>
      <c r="I45" s="7"/>
      <c r="J45" s="7">
        <v>9.9999999999980105E-3</v>
      </c>
      <c r="L45" s="5">
        <f t="shared" si="8"/>
        <v>1.0300000000000011</v>
      </c>
      <c r="M45" s="24">
        <v>2014</v>
      </c>
      <c r="N45" s="101">
        <v>41832</v>
      </c>
      <c r="P45" s="16">
        <v>-0.48476195233991604</v>
      </c>
      <c r="R45" s="5">
        <f t="shared" si="9"/>
        <v>1.5</v>
      </c>
      <c r="Y45" s="109"/>
      <c r="Z45" s="4"/>
      <c r="AA45" s="4"/>
    </row>
    <row r="46" spans="1:27" x14ac:dyDescent="0.25">
      <c r="A46" s="3">
        <v>2012</v>
      </c>
      <c r="B46" s="101">
        <v>41198</v>
      </c>
      <c r="D46" s="12">
        <v>9.9999999999994316E-2</v>
      </c>
      <c r="F46" s="5">
        <f t="shared" si="7"/>
        <v>4.6499999999999915</v>
      </c>
      <c r="G46" s="24">
        <v>2012</v>
      </c>
      <c r="H46" s="101">
        <v>41198</v>
      </c>
      <c r="I46" s="7"/>
      <c r="J46" s="7">
        <v>2.0000000000003126E-2</v>
      </c>
      <c r="L46" s="5">
        <f t="shared" si="8"/>
        <v>1.0500000000000043</v>
      </c>
      <c r="M46" s="24">
        <v>2015</v>
      </c>
      <c r="N46" s="101">
        <v>42201</v>
      </c>
      <c r="P46" s="16">
        <v>-7.0000000000000284E-2</v>
      </c>
      <c r="R46" s="5">
        <f t="shared" si="9"/>
        <v>1.4299999999999997</v>
      </c>
      <c r="Y46" s="109"/>
      <c r="Z46" s="4"/>
      <c r="AA46" s="4"/>
    </row>
    <row r="47" spans="1:27" x14ac:dyDescent="0.25">
      <c r="A47" s="3">
        <v>2013</v>
      </c>
      <c r="B47" s="101">
        <v>41463</v>
      </c>
      <c r="D47" s="12">
        <v>9.0000000000003411E-2</v>
      </c>
      <c r="F47" s="5">
        <f t="shared" si="7"/>
        <v>4.7399999999999949</v>
      </c>
      <c r="G47" s="24">
        <v>2013</v>
      </c>
      <c r="H47" s="101">
        <v>41463</v>
      </c>
      <c r="I47" s="7"/>
      <c r="J47" s="7">
        <v>8.9999999999996305E-2</v>
      </c>
      <c r="L47" s="5">
        <f t="shared" si="8"/>
        <v>1.1400000000000006</v>
      </c>
      <c r="M47" s="24">
        <v>2016</v>
      </c>
      <c r="N47" s="101">
        <v>42629</v>
      </c>
      <c r="P47" s="16">
        <v>-7.9999999999998295E-2</v>
      </c>
      <c r="R47" s="5">
        <f t="shared" si="9"/>
        <v>1.3500000000000014</v>
      </c>
      <c r="Y47" s="109"/>
      <c r="Z47" s="4"/>
      <c r="AA47" s="4"/>
    </row>
    <row r="48" spans="1:27" x14ac:dyDescent="0.25">
      <c r="A48" s="3">
        <v>2014</v>
      </c>
      <c r="B48" s="101">
        <v>41832</v>
      </c>
      <c r="D48" s="12">
        <v>0</v>
      </c>
      <c r="F48" s="5">
        <f t="shared" si="7"/>
        <v>4.7399999999999949</v>
      </c>
      <c r="G48" s="24">
        <v>2014</v>
      </c>
      <c r="H48" s="101">
        <v>41832</v>
      </c>
      <c r="I48" s="7"/>
      <c r="J48" s="7">
        <v>0</v>
      </c>
      <c r="L48" s="5">
        <f t="shared" si="8"/>
        <v>1.1400000000000006</v>
      </c>
      <c r="M48" s="24">
        <v>2019</v>
      </c>
      <c r="N48" s="101">
        <v>42655</v>
      </c>
      <c r="P48" s="16">
        <v>-4.9999999999997158E-2</v>
      </c>
      <c r="R48" s="5">
        <f t="shared" si="9"/>
        <v>1.3000000000000043</v>
      </c>
      <c r="Y48" s="109"/>
      <c r="Z48" s="4"/>
      <c r="AA48" s="4"/>
    </row>
    <row r="49" spans="1:27" x14ac:dyDescent="0.25">
      <c r="A49" s="3">
        <v>2015</v>
      </c>
      <c r="B49" s="101">
        <v>42201</v>
      </c>
      <c r="D49" s="12">
        <v>0</v>
      </c>
      <c r="F49" s="5">
        <f t="shared" si="7"/>
        <v>4.7399999999999949</v>
      </c>
      <c r="G49" s="24">
        <v>2015</v>
      </c>
      <c r="H49" s="101">
        <v>42201</v>
      </c>
      <c r="I49" s="7"/>
      <c r="J49" s="7">
        <v>0</v>
      </c>
      <c r="L49" s="5">
        <f t="shared" si="8"/>
        <v>1.1400000000000006</v>
      </c>
      <c r="M49" s="24">
        <v>2019</v>
      </c>
      <c r="N49" s="101">
        <v>43691</v>
      </c>
      <c r="P49" s="9">
        <v>0.14999999999999858</v>
      </c>
      <c r="R49" s="5">
        <f t="shared" si="9"/>
        <v>1.4500000000000028</v>
      </c>
      <c r="Y49" s="109"/>
      <c r="Z49" s="4"/>
      <c r="AA49" s="4"/>
    </row>
    <row r="50" spans="1:27" x14ac:dyDescent="0.25">
      <c r="A50" s="3">
        <v>2019</v>
      </c>
      <c r="B50" s="101">
        <v>43747</v>
      </c>
      <c r="D50" s="4">
        <v>0.11000000000001364</v>
      </c>
      <c r="F50" s="5">
        <f t="shared" si="7"/>
        <v>4.8500000000000085</v>
      </c>
      <c r="G50" s="24">
        <v>2016</v>
      </c>
      <c r="H50" s="101">
        <v>42629</v>
      </c>
      <c r="I50" s="7"/>
      <c r="J50" s="7">
        <v>0</v>
      </c>
      <c r="L50" s="5">
        <f t="shared" si="8"/>
        <v>1.1400000000000006</v>
      </c>
      <c r="M50" s="24">
        <v>2023</v>
      </c>
      <c r="N50" s="100">
        <v>45203</v>
      </c>
      <c r="P50" s="9">
        <v>0.77</v>
      </c>
      <c r="R50" s="5">
        <f t="shared" si="9"/>
        <v>2.2200000000000029</v>
      </c>
      <c r="Y50" s="109"/>
      <c r="Z50" s="4"/>
      <c r="AA50" s="4"/>
    </row>
    <row r="51" spans="1:27" x14ac:dyDescent="0.25">
      <c r="A51" s="3">
        <v>2022</v>
      </c>
      <c r="B51" s="101">
        <v>44845</v>
      </c>
      <c r="D51" s="4">
        <v>7.0000000000000007E-2</v>
      </c>
      <c r="F51" s="5">
        <f t="shared" si="7"/>
        <v>4.9200000000000088</v>
      </c>
      <c r="G51" s="24">
        <v>2016</v>
      </c>
      <c r="H51" s="101">
        <v>42655</v>
      </c>
      <c r="I51" s="7"/>
      <c r="J51" s="7">
        <v>9.9999999999980105E-3</v>
      </c>
      <c r="L51" s="5">
        <f t="shared" si="8"/>
        <v>1.1499999999999986</v>
      </c>
      <c r="M51" s="5"/>
    </row>
    <row r="52" spans="1:27" x14ac:dyDescent="0.25">
      <c r="A52" s="3">
        <v>2023</v>
      </c>
      <c r="B52" s="100">
        <v>45203</v>
      </c>
      <c r="D52" s="4">
        <v>-7.0000000000000007E-2</v>
      </c>
      <c r="F52" s="5">
        <f t="shared" si="7"/>
        <v>4.8500000000000085</v>
      </c>
      <c r="G52" s="24">
        <v>2019</v>
      </c>
      <c r="H52" s="101">
        <v>43747</v>
      </c>
      <c r="I52" s="9"/>
      <c r="J52" s="9">
        <v>0.27000000000000313</v>
      </c>
      <c r="L52" s="5">
        <f t="shared" si="8"/>
        <v>1.4200000000000017</v>
      </c>
    </row>
    <row r="53" spans="1:27" x14ac:dyDescent="0.25">
      <c r="G53" s="24">
        <v>2023</v>
      </c>
      <c r="H53" s="100">
        <v>45203</v>
      </c>
      <c r="I53" s="9"/>
      <c r="J53" s="9">
        <v>0.28999999999999998</v>
      </c>
      <c r="L53" s="5">
        <f t="shared" si="8"/>
        <v>1.7100000000000017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opLeftCell="A10" workbookViewId="0">
      <selection activeCell="F23" sqref="F23"/>
    </sheetView>
  </sheetViews>
  <sheetFormatPr defaultRowHeight="15" x14ac:dyDescent="0.25"/>
  <cols>
    <col min="2" max="2" width="11.85546875" customWidth="1"/>
    <col min="3" max="3" width="9.140625" customWidth="1"/>
    <col min="5" max="5" width="11.28515625" customWidth="1"/>
    <col min="7" max="7" width="10.7109375" customWidth="1"/>
    <col min="8" max="8" width="10.85546875" customWidth="1"/>
    <col min="12" max="12" width="11.140625" customWidth="1"/>
    <col min="13" max="13" width="12.28515625" customWidth="1"/>
    <col min="14" max="14" width="12.7109375" customWidth="1"/>
  </cols>
  <sheetData>
    <row r="1" spans="1:26" x14ac:dyDescent="0.25">
      <c r="B1" s="3" t="s">
        <v>19</v>
      </c>
    </row>
    <row r="2" spans="1:26" x14ac:dyDescent="0.25">
      <c r="C2" s="3" t="s">
        <v>20</v>
      </c>
      <c r="H2" s="3" t="s">
        <v>21</v>
      </c>
      <c r="M2" s="3" t="s">
        <v>22</v>
      </c>
      <c r="R2" s="8"/>
      <c r="S2" s="7"/>
      <c r="T2" s="7"/>
      <c r="U2" s="7"/>
    </row>
    <row r="3" spans="1:26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  <c r="X3" t="s">
        <v>47</v>
      </c>
      <c r="Y3" t="s">
        <v>48</v>
      </c>
    </row>
    <row r="4" spans="1:26" x14ac:dyDescent="0.25">
      <c r="A4">
        <v>1958</v>
      </c>
      <c r="B4" s="1">
        <v>21895</v>
      </c>
      <c r="C4" s="3"/>
      <c r="H4" s="3"/>
      <c r="M4" s="3"/>
      <c r="R4" s="8"/>
      <c r="S4" s="7"/>
      <c r="T4" s="7"/>
      <c r="U4" s="7"/>
      <c r="X4" s="109">
        <v>1986</v>
      </c>
      <c r="Y4" s="4">
        <v>14.350000000000001</v>
      </c>
      <c r="Z4" s="4">
        <v>15.34</v>
      </c>
    </row>
    <row r="5" spans="1:26" x14ac:dyDescent="0.25">
      <c r="A5">
        <v>1960</v>
      </c>
      <c r="B5" s="1">
        <v>22210</v>
      </c>
      <c r="C5" s="23"/>
      <c r="D5" s="4"/>
      <c r="F5" s="10"/>
      <c r="H5" s="5"/>
      <c r="I5" s="4"/>
      <c r="M5" s="5"/>
      <c r="N5" s="4"/>
      <c r="R5" s="8"/>
      <c r="S5" s="7"/>
      <c r="T5" s="7"/>
      <c r="U5" s="7"/>
      <c r="X5" s="109">
        <v>1987</v>
      </c>
      <c r="Y5" s="4">
        <v>14.45</v>
      </c>
      <c r="Z5" s="4">
        <v>15.379999999999999</v>
      </c>
    </row>
    <row r="6" spans="1:26" x14ac:dyDescent="0.25">
      <c r="A6">
        <v>1965</v>
      </c>
      <c r="B6" s="1">
        <v>23949</v>
      </c>
      <c r="C6" s="23">
        <v>1739</v>
      </c>
      <c r="D6" s="4">
        <v>35.099999999999966</v>
      </c>
      <c r="E6">
        <v>365</v>
      </c>
      <c r="F6" s="6">
        <f t="shared" ref="F6:F15" si="0">E6*D6/C6</f>
        <v>7.3671650373777959</v>
      </c>
      <c r="G6" s="3">
        <v>1965</v>
      </c>
      <c r="H6" s="23">
        <v>1739</v>
      </c>
      <c r="I6" s="4">
        <v>45.900000000000034</v>
      </c>
      <c r="J6">
        <v>365</v>
      </c>
      <c r="K6" s="6">
        <f t="shared" ref="K6:K16" si="1">J6*I6/H6</f>
        <v>9.6339850488786727</v>
      </c>
      <c r="L6" s="3">
        <v>1965</v>
      </c>
      <c r="M6" s="23">
        <v>1739</v>
      </c>
      <c r="N6" s="4">
        <v>49</v>
      </c>
      <c r="O6">
        <v>365</v>
      </c>
      <c r="P6" s="6">
        <f>O6*N6/M6</f>
        <v>10.284646348476135</v>
      </c>
      <c r="R6" s="8"/>
      <c r="S6" s="7"/>
      <c r="T6" s="7"/>
      <c r="U6" s="7"/>
      <c r="X6" s="109">
        <v>1988</v>
      </c>
      <c r="Y6" s="4">
        <v>14.605</v>
      </c>
      <c r="Z6" s="4">
        <v>15.59</v>
      </c>
    </row>
    <row r="7" spans="1:26" x14ac:dyDescent="0.25">
      <c r="A7">
        <v>1970</v>
      </c>
      <c r="B7" s="1">
        <v>25769</v>
      </c>
      <c r="C7" s="23">
        <v>1820</v>
      </c>
      <c r="D7" s="4">
        <v>27.900000000000034</v>
      </c>
      <c r="E7">
        <v>365</v>
      </c>
      <c r="F7" s="6">
        <f t="shared" si="0"/>
        <v>5.5953296703296775</v>
      </c>
      <c r="G7" s="3">
        <v>1970</v>
      </c>
      <c r="H7" s="23"/>
      <c r="I7" s="4"/>
      <c r="K7" s="10"/>
      <c r="L7" s="3">
        <v>1970</v>
      </c>
      <c r="M7" s="23">
        <v>1820</v>
      </c>
      <c r="N7" s="4">
        <v>29</v>
      </c>
      <c r="O7">
        <v>365</v>
      </c>
      <c r="P7" s="6">
        <f t="shared" ref="P7:P16" si="2">O7*N7/M7</f>
        <v>5.8159340659340657</v>
      </c>
      <c r="R7" s="8"/>
      <c r="S7" s="7"/>
      <c r="T7" s="7"/>
      <c r="U7" s="7"/>
      <c r="X7" s="109">
        <v>1989</v>
      </c>
      <c r="Y7" s="4">
        <v>14.335000000000001</v>
      </c>
      <c r="Z7" s="4">
        <v>15.23</v>
      </c>
    </row>
    <row r="8" spans="1:26" x14ac:dyDescent="0.25">
      <c r="A8">
        <v>1974</v>
      </c>
      <c r="B8" s="1">
        <v>27228</v>
      </c>
      <c r="C8" s="23">
        <v>1459</v>
      </c>
      <c r="D8" s="4">
        <v>21.100000000000023</v>
      </c>
      <c r="E8">
        <v>365</v>
      </c>
      <c r="F8" s="6">
        <f t="shared" si="0"/>
        <v>5.278615490061692</v>
      </c>
      <c r="G8" s="3">
        <v>1974</v>
      </c>
      <c r="H8" s="23">
        <v>1459</v>
      </c>
      <c r="I8" s="4">
        <v>15.099999999999966</v>
      </c>
      <c r="J8">
        <v>365</v>
      </c>
      <c r="K8" s="6">
        <f t="shared" si="1"/>
        <v>3.7775873886223352</v>
      </c>
      <c r="L8" s="3">
        <v>1974</v>
      </c>
      <c r="M8" s="23">
        <v>1459</v>
      </c>
      <c r="N8" s="4">
        <v>27.999999999999972</v>
      </c>
      <c r="O8">
        <v>365</v>
      </c>
      <c r="P8" s="6">
        <f t="shared" si="2"/>
        <v>7.0047978067169216</v>
      </c>
      <c r="R8" s="8"/>
      <c r="S8" s="7"/>
      <c r="T8" s="7"/>
      <c r="U8" s="7"/>
      <c r="X8" s="109">
        <v>1990</v>
      </c>
      <c r="Y8" s="4">
        <v>14.795</v>
      </c>
      <c r="Z8" s="4">
        <v>15.31</v>
      </c>
    </row>
    <row r="9" spans="1:26" x14ac:dyDescent="0.25">
      <c r="A9">
        <v>1980</v>
      </c>
      <c r="B9" s="1">
        <v>29528</v>
      </c>
      <c r="C9" s="23">
        <v>2300</v>
      </c>
      <c r="D9" s="4">
        <v>26.799999999999955</v>
      </c>
      <c r="E9">
        <v>366</v>
      </c>
      <c r="F9" s="6">
        <f t="shared" si="0"/>
        <v>4.2646956521739057</v>
      </c>
      <c r="G9" s="3">
        <v>1980</v>
      </c>
      <c r="H9" s="23">
        <v>2300</v>
      </c>
      <c r="I9" s="4">
        <v>26.609999999999985</v>
      </c>
      <c r="J9">
        <v>366</v>
      </c>
      <c r="K9" s="6">
        <f t="shared" si="1"/>
        <v>4.2344608695652148</v>
      </c>
      <c r="L9" s="3">
        <v>1980</v>
      </c>
      <c r="M9" s="23">
        <v>2300</v>
      </c>
      <c r="N9" s="4">
        <v>28.400000000000006</v>
      </c>
      <c r="O9">
        <v>366</v>
      </c>
      <c r="P9" s="6">
        <f t="shared" si="2"/>
        <v>4.5193043478260879</v>
      </c>
      <c r="R9" s="8"/>
      <c r="S9" s="7"/>
      <c r="T9" s="7"/>
      <c r="U9" s="7"/>
      <c r="X9" s="109">
        <v>1991</v>
      </c>
      <c r="Y9" s="4">
        <v>14.719999999999999</v>
      </c>
      <c r="Z9" s="4">
        <v>16.04</v>
      </c>
    </row>
    <row r="10" spans="1:26" x14ac:dyDescent="0.25">
      <c r="A10">
        <v>1986</v>
      </c>
      <c r="B10" s="1">
        <v>31716</v>
      </c>
      <c r="C10" s="23">
        <v>2188</v>
      </c>
      <c r="D10" s="4">
        <v>28.600000000000023</v>
      </c>
      <c r="E10">
        <v>365</v>
      </c>
      <c r="F10" s="6">
        <f t="shared" si="0"/>
        <v>4.7710237659963477</v>
      </c>
      <c r="G10" s="3">
        <v>1986</v>
      </c>
      <c r="H10" s="23">
        <v>2188</v>
      </c>
      <c r="I10" s="4">
        <v>28.440000000000026</v>
      </c>
      <c r="J10">
        <v>365</v>
      </c>
      <c r="K10" s="6">
        <f t="shared" si="1"/>
        <v>4.7443327239488164</v>
      </c>
      <c r="L10" s="3">
        <v>1986</v>
      </c>
      <c r="M10" s="23">
        <v>2188</v>
      </c>
      <c r="N10" s="4">
        <v>26.399999999999977</v>
      </c>
      <c r="O10">
        <v>365</v>
      </c>
      <c r="P10" s="6">
        <f t="shared" si="2"/>
        <v>4.4040219378427743</v>
      </c>
      <c r="R10" s="8"/>
      <c r="S10" s="7"/>
      <c r="T10" s="7"/>
      <c r="U10" s="7"/>
      <c r="X10" s="109">
        <v>1992</v>
      </c>
      <c r="Y10" s="4">
        <v>14.719999999999999</v>
      </c>
      <c r="Z10" s="4">
        <v>15.21</v>
      </c>
    </row>
    <row r="11" spans="1:26" x14ac:dyDescent="0.25">
      <c r="A11">
        <v>1991</v>
      </c>
      <c r="B11" s="1">
        <v>33528</v>
      </c>
      <c r="C11" s="23">
        <v>1812</v>
      </c>
      <c r="D11" s="4">
        <v>30.759999999999991</v>
      </c>
      <c r="E11">
        <v>365</v>
      </c>
      <c r="F11" s="6">
        <f t="shared" si="0"/>
        <v>6.1961368653421616</v>
      </c>
      <c r="G11" s="3">
        <v>1991</v>
      </c>
      <c r="H11" s="23">
        <v>1812</v>
      </c>
      <c r="I11" s="4">
        <v>27.75</v>
      </c>
      <c r="J11">
        <v>365</v>
      </c>
      <c r="K11" s="6">
        <f t="shared" si="1"/>
        <v>5.5898178807947021</v>
      </c>
      <c r="L11" s="3">
        <v>1991</v>
      </c>
      <c r="M11" s="23">
        <v>1812</v>
      </c>
      <c r="N11" s="4">
        <v>24.04000000000002</v>
      </c>
      <c r="O11">
        <v>365</v>
      </c>
      <c r="P11" s="6">
        <f t="shared" si="2"/>
        <v>4.8424944812362076</v>
      </c>
      <c r="R11" s="8"/>
      <c r="S11" s="7"/>
      <c r="T11" s="7"/>
      <c r="U11" s="7"/>
      <c r="X11" s="109">
        <v>1993</v>
      </c>
      <c r="Y11" s="4">
        <v>14.635000000000002</v>
      </c>
      <c r="Z11" s="4">
        <v>15.219999999999999</v>
      </c>
    </row>
    <row r="12" spans="1:26" x14ac:dyDescent="0.25">
      <c r="A12">
        <v>1995</v>
      </c>
      <c r="B12" s="1">
        <v>34895</v>
      </c>
      <c r="C12" s="23"/>
      <c r="D12" s="4"/>
      <c r="F12" s="10"/>
      <c r="G12" s="3">
        <v>1995</v>
      </c>
      <c r="H12" s="23">
        <v>1367</v>
      </c>
      <c r="I12" s="4">
        <v>18.519999999999982</v>
      </c>
      <c r="J12">
        <v>365</v>
      </c>
      <c r="K12" s="6">
        <f t="shared" si="1"/>
        <v>4.9449890270665646</v>
      </c>
      <c r="L12" s="3">
        <v>1995</v>
      </c>
      <c r="M12" s="23">
        <v>1367</v>
      </c>
      <c r="N12" s="4">
        <v>18.919999999999987</v>
      </c>
      <c r="O12">
        <v>365</v>
      </c>
      <c r="P12" s="6">
        <f t="shared" si="2"/>
        <v>5.0517922457937052</v>
      </c>
      <c r="R12" s="8"/>
      <c r="S12" s="7"/>
      <c r="T12" s="7"/>
      <c r="U12" s="7"/>
      <c r="X12" s="109">
        <v>1994</v>
      </c>
      <c r="Y12" s="4">
        <v>14.655000000000001</v>
      </c>
      <c r="Z12" s="4">
        <v>15.34</v>
      </c>
    </row>
    <row r="13" spans="1:26" x14ac:dyDescent="0.25">
      <c r="A13">
        <v>1999</v>
      </c>
      <c r="B13" s="1">
        <v>36404</v>
      </c>
      <c r="C13" s="23">
        <v>2876</v>
      </c>
      <c r="D13" s="4">
        <v>42.989999999999981</v>
      </c>
      <c r="E13">
        <v>365</v>
      </c>
      <c r="F13" s="6">
        <f t="shared" si="0"/>
        <v>5.4559631432545181</v>
      </c>
      <c r="G13" s="3">
        <v>1999</v>
      </c>
      <c r="H13" s="23"/>
      <c r="I13" s="4"/>
      <c r="K13" s="10"/>
      <c r="L13" s="3">
        <v>1999</v>
      </c>
      <c r="M13" s="23">
        <v>1509</v>
      </c>
      <c r="N13" s="4">
        <v>18.410000000000011</v>
      </c>
      <c r="O13">
        <v>365</v>
      </c>
      <c r="P13" s="6">
        <f t="shared" si="2"/>
        <v>4.45304837640822</v>
      </c>
      <c r="R13" s="8"/>
      <c r="S13" s="7"/>
      <c r="T13" s="7"/>
      <c r="U13" s="7"/>
      <c r="X13" s="109">
        <v>1995</v>
      </c>
      <c r="Y13" s="4">
        <v>14.75</v>
      </c>
      <c r="Z13" s="4">
        <v>15.58</v>
      </c>
    </row>
    <row r="14" spans="1:26" x14ac:dyDescent="0.25">
      <c r="A14">
        <v>2003</v>
      </c>
      <c r="B14" s="1">
        <v>37817</v>
      </c>
      <c r="C14" s="23"/>
      <c r="D14" s="4"/>
      <c r="F14" s="10"/>
      <c r="G14" s="3">
        <v>2003</v>
      </c>
      <c r="H14" s="23">
        <v>2922</v>
      </c>
      <c r="I14" s="4">
        <v>19.970000000000027</v>
      </c>
      <c r="J14">
        <v>365</v>
      </c>
      <c r="K14" s="6">
        <f t="shared" si="1"/>
        <v>2.4945414099931589</v>
      </c>
      <c r="L14" s="3">
        <v>2003</v>
      </c>
      <c r="M14" s="23"/>
      <c r="N14" s="4"/>
      <c r="P14" s="10"/>
      <c r="R14" s="8"/>
      <c r="S14" s="7"/>
      <c r="T14" s="7"/>
      <c r="U14" s="7"/>
      <c r="X14" s="109">
        <v>1996</v>
      </c>
      <c r="Y14" s="4">
        <v>14.524999999999999</v>
      </c>
      <c r="Z14" s="4">
        <v>15.280000000000001</v>
      </c>
    </row>
    <row r="15" spans="1:26" x14ac:dyDescent="0.25">
      <c r="A15">
        <v>2006</v>
      </c>
      <c r="B15" s="1">
        <v>38986</v>
      </c>
      <c r="C15" s="23">
        <v>2582</v>
      </c>
      <c r="D15" s="4">
        <v>32.390000000000015</v>
      </c>
      <c r="E15">
        <v>365</v>
      </c>
      <c r="F15" s="6">
        <f t="shared" si="0"/>
        <v>4.578756777691714</v>
      </c>
      <c r="G15" s="3">
        <v>2006</v>
      </c>
      <c r="H15" s="23">
        <v>1169</v>
      </c>
      <c r="I15" s="4">
        <v>13.929999999999978</v>
      </c>
      <c r="J15">
        <v>365</v>
      </c>
      <c r="K15" s="6">
        <f t="shared" si="1"/>
        <v>4.3494011976047844</v>
      </c>
      <c r="L15" s="3">
        <v>2006</v>
      </c>
      <c r="M15" s="23">
        <v>2582</v>
      </c>
      <c r="N15" s="4">
        <v>32.03</v>
      </c>
      <c r="O15">
        <v>365</v>
      </c>
      <c r="P15" s="6">
        <f t="shared" si="2"/>
        <v>4.5278659953524398</v>
      </c>
      <c r="R15" s="8"/>
      <c r="S15" s="7"/>
      <c r="T15" s="7"/>
      <c r="U15" s="7"/>
      <c r="X15" s="109">
        <v>1997</v>
      </c>
      <c r="Y15" s="4">
        <v>14.685</v>
      </c>
      <c r="Z15" s="4">
        <v>15.5</v>
      </c>
    </row>
    <row r="16" spans="1:26" x14ac:dyDescent="0.25">
      <c r="A16">
        <v>2009</v>
      </c>
      <c r="B16" s="1">
        <v>40009</v>
      </c>
      <c r="C16" s="23">
        <v>1023</v>
      </c>
      <c r="D16" s="4">
        <v>14.850000000000023</v>
      </c>
      <c r="F16" s="10"/>
      <c r="G16" s="3">
        <v>2009</v>
      </c>
      <c r="H16" s="23">
        <v>1023</v>
      </c>
      <c r="I16" s="4">
        <v>11.810000000000002</v>
      </c>
      <c r="J16">
        <v>365</v>
      </c>
      <c r="K16" s="6">
        <f t="shared" si="1"/>
        <v>4.2137341153470187</v>
      </c>
      <c r="L16" s="3">
        <v>2009</v>
      </c>
      <c r="M16" s="23">
        <v>1023</v>
      </c>
      <c r="N16" s="4">
        <v>13.079999999999998</v>
      </c>
      <c r="O16">
        <v>365</v>
      </c>
      <c r="P16" s="6">
        <f t="shared" si="2"/>
        <v>4.6668621700879767</v>
      </c>
      <c r="R16" s="8"/>
      <c r="S16" s="7"/>
      <c r="T16" s="7"/>
      <c r="U16" s="7"/>
      <c r="X16" s="109">
        <v>1998</v>
      </c>
      <c r="Y16" s="4">
        <v>14.68</v>
      </c>
      <c r="Z16" s="4">
        <v>15.39</v>
      </c>
    </row>
    <row r="17" spans="1:26" x14ac:dyDescent="0.25">
      <c r="A17">
        <v>2011</v>
      </c>
      <c r="B17" s="1">
        <v>40798</v>
      </c>
      <c r="C17" s="26">
        <v>789</v>
      </c>
      <c r="D17" s="14">
        <v>5.7099999999999795</v>
      </c>
      <c r="E17" s="21">
        <v>365</v>
      </c>
      <c r="F17" s="6">
        <f>E17*D17/C17</f>
        <v>2.6415082382762893</v>
      </c>
      <c r="G17" s="8">
        <v>2011</v>
      </c>
      <c r="H17" s="29">
        <v>789</v>
      </c>
      <c r="I17" s="9">
        <v>3.0699999999999932</v>
      </c>
      <c r="J17" s="21">
        <v>365</v>
      </c>
      <c r="K17" s="10">
        <f t="shared" ref="K17" si="3">J17*I17/H17</f>
        <v>1.4202154626108967</v>
      </c>
      <c r="L17" s="8">
        <v>2011</v>
      </c>
      <c r="M17" s="28">
        <v>789</v>
      </c>
      <c r="N17" s="9">
        <v>3.5200000000000102</v>
      </c>
      <c r="O17" s="21">
        <v>365</v>
      </c>
      <c r="P17" s="10">
        <f>O17*N17/M17</f>
        <v>1.6283903675538705</v>
      </c>
      <c r="Q17" s="3"/>
      <c r="R17" s="9"/>
      <c r="S17" s="9"/>
      <c r="T17" s="9"/>
      <c r="U17" s="10"/>
      <c r="X17" s="109">
        <v>1999</v>
      </c>
      <c r="Y17" s="4">
        <v>14.654999999999999</v>
      </c>
      <c r="Z17" s="4">
        <v>15.25</v>
      </c>
    </row>
    <row r="18" spans="1:26" x14ac:dyDescent="0.25">
      <c r="A18">
        <v>2012</v>
      </c>
      <c r="B18" s="1">
        <v>41177</v>
      </c>
      <c r="C18" s="26"/>
      <c r="D18" s="12"/>
      <c r="E18" s="21"/>
      <c r="F18" s="10"/>
      <c r="G18" s="8">
        <v>2012</v>
      </c>
      <c r="H18" s="29">
        <v>379</v>
      </c>
      <c r="I18" s="9">
        <v>3.5800000000000125</v>
      </c>
      <c r="J18" s="21">
        <v>366</v>
      </c>
      <c r="K18" s="6">
        <f>J18*I18/H18</f>
        <v>3.4572031662269249</v>
      </c>
      <c r="L18" s="8">
        <v>2012</v>
      </c>
      <c r="M18" s="28">
        <v>379</v>
      </c>
      <c r="N18" s="9">
        <v>2.6799999999999926</v>
      </c>
      <c r="O18" s="21">
        <v>366</v>
      </c>
      <c r="P18" s="6">
        <f>O18*N18/M18</f>
        <v>2.5880738786279611</v>
      </c>
      <c r="Q18" s="3"/>
      <c r="R18" s="9"/>
      <c r="S18" s="9"/>
      <c r="T18" s="9"/>
      <c r="U18" s="10"/>
      <c r="X18" s="109">
        <v>2000</v>
      </c>
      <c r="Y18" s="4">
        <v>14.75</v>
      </c>
      <c r="Z18" s="4">
        <v>15.31</v>
      </c>
    </row>
    <row r="19" spans="1:26" x14ac:dyDescent="0.25">
      <c r="A19">
        <v>2013</v>
      </c>
      <c r="B19" s="1">
        <v>41458</v>
      </c>
      <c r="C19" s="26">
        <v>660</v>
      </c>
      <c r="D19" s="14">
        <v>8.0200000000000102</v>
      </c>
      <c r="E19" s="21">
        <v>365</v>
      </c>
      <c r="F19" s="6">
        <f t="shared" ref="F19:F23" si="4">E19*D19/C19</f>
        <v>4.4353030303030359</v>
      </c>
      <c r="G19" s="8">
        <v>2013</v>
      </c>
      <c r="H19" s="29">
        <v>281</v>
      </c>
      <c r="I19" s="9">
        <v>0.79999999999998295</v>
      </c>
      <c r="J19" s="21">
        <v>365</v>
      </c>
      <c r="K19" s="10">
        <f t="shared" ref="K19:K25" si="5">J19*I19/H19</f>
        <v>1.0391459074732874</v>
      </c>
      <c r="L19" s="8">
        <v>2013</v>
      </c>
      <c r="M19" s="28">
        <v>281</v>
      </c>
      <c r="N19" s="9">
        <v>1.8900000000000006</v>
      </c>
      <c r="O19" s="21">
        <v>365</v>
      </c>
      <c r="P19" s="6">
        <f t="shared" ref="P19:P21" si="6">O19*N19/M19</f>
        <v>2.454982206405695</v>
      </c>
      <c r="Q19" s="3"/>
      <c r="R19" s="9"/>
      <c r="S19" s="9"/>
      <c r="T19" s="9"/>
      <c r="U19" s="10"/>
      <c r="X19" s="109">
        <v>2001</v>
      </c>
      <c r="Y19" s="4">
        <v>14.895</v>
      </c>
      <c r="Z19" s="4">
        <v>15.600000000000001</v>
      </c>
    </row>
    <row r="20" spans="1:26" x14ac:dyDescent="0.25">
      <c r="A20">
        <v>2016</v>
      </c>
      <c r="B20" s="1">
        <v>42420</v>
      </c>
      <c r="C20" s="26">
        <v>962</v>
      </c>
      <c r="D20" s="14">
        <v>11.22999999999999</v>
      </c>
      <c r="E20" s="21">
        <v>366</v>
      </c>
      <c r="F20" s="6">
        <f t="shared" si="4"/>
        <v>4.2725363825363791</v>
      </c>
      <c r="G20" s="8">
        <v>2016</v>
      </c>
      <c r="H20" s="29">
        <v>962</v>
      </c>
      <c r="I20" s="9">
        <v>11.690000000000012</v>
      </c>
      <c r="J20" s="21">
        <v>366</v>
      </c>
      <c r="K20" s="6">
        <f t="shared" si="5"/>
        <v>4.4475467775467825</v>
      </c>
      <c r="L20" s="8">
        <v>2016</v>
      </c>
      <c r="M20" s="28">
        <v>962</v>
      </c>
      <c r="N20" s="9">
        <v>10.39</v>
      </c>
      <c r="O20" s="21">
        <v>366</v>
      </c>
      <c r="P20" s="6">
        <f t="shared" si="6"/>
        <v>3.952952182952183</v>
      </c>
      <c r="Q20" s="3"/>
      <c r="R20" s="9"/>
      <c r="S20" s="9"/>
      <c r="T20" s="9"/>
      <c r="U20" s="10"/>
      <c r="X20" s="109">
        <v>2002</v>
      </c>
      <c r="Y20" s="4">
        <v>14.825000000000001</v>
      </c>
      <c r="Z20" s="4">
        <v>15.3</v>
      </c>
    </row>
    <row r="21" spans="1:26" x14ac:dyDescent="0.25">
      <c r="A21">
        <v>2019</v>
      </c>
      <c r="B21" s="1">
        <v>43718</v>
      </c>
      <c r="C21" s="26"/>
      <c r="D21" s="12"/>
      <c r="E21" s="21"/>
      <c r="F21" s="10"/>
      <c r="G21" s="8">
        <v>2019</v>
      </c>
      <c r="H21" s="29">
        <v>1298</v>
      </c>
      <c r="I21" s="9">
        <v>14.689999999999998</v>
      </c>
      <c r="J21" s="21">
        <v>365</v>
      </c>
      <c r="K21" s="6">
        <f t="shared" si="5"/>
        <v>4.1308551617873643</v>
      </c>
      <c r="L21" s="8">
        <v>2019</v>
      </c>
      <c r="M21" s="28">
        <v>1298</v>
      </c>
      <c r="N21" s="49">
        <v>12.32</v>
      </c>
      <c r="O21" s="21">
        <v>365</v>
      </c>
      <c r="P21" s="6">
        <f t="shared" si="6"/>
        <v>3.464406779661017</v>
      </c>
      <c r="Q21" s="3"/>
      <c r="R21" s="9"/>
      <c r="S21" s="9"/>
      <c r="T21" s="9"/>
      <c r="U21" s="10"/>
      <c r="X21" s="109">
        <v>2003</v>
      </c>
      <c r="Y21" s="4">
        <v>14.89</v>
      </c>
      <c r="Z21" s="4">
        <v>15.370000000000001</v>
      </c>
    </row>
    <row r="22" spans="1:26" x14ac:dyDescent="0.25">
      <c r="A22">
        <v>2020</v>
      </c>
      <c r="B22" s="1">
        <v>44081</v>
      </c>
      <c r="C22" s="26">
        <v>1661</v>
      </c>
      <c r="D22" s="12">
        <v>19.099999999999994</v>
      </c>
      <c r="E22" s="21">
        <v>366</v>
      </c>
      <c r="F22" s="6">
        <f t="shared" si="4"/>
        <v>4.2086694762191437</v>
      </c>
      <c r="G22" s="8">
        <v>2020</v>
      </c>
      <c r="H22" s="29">
        <v>363</v>
      </c>
      <c r="I22" s="9">
        <v>5.3900000000000006</v>
      </c>
      <c r="J22" s="21">
        <v>366</v>
      </c>
      <c r="K22" s="6">
        <f t="shared" si="5"/>
        <v>5.4345454545454555</v>
      </c>
      <c r="L22" s="8">
        <v>2020</v>
      </c>
      <c r="M22" s="36">
        <v>363</v>
      </c>
      <c r="N22" s="49">
        <v>4.75</v>
      </c>
      <c r="O22" s="21">
        <v>366</v>
      </c>
      <c r="P22" s="6">
        <f t="shared" ref="P22:P25" si="7">O22*N22/M22</f>
        <v>4.7892561983471076</v>
      </c>
      <c r="Q22" s="3"/>
      <c r="R22" s="9"/>
      <c r="S22" s="9"/>
      <c r="T22" s="9"/>
      <c r="U22" s="10"/>
      <c r="X22" s="109">
        <v>2004</v>
      </c>
      <c r="Y22" s="4">
        <v>14.805</v>
      </c>
      <c r="Z22" s="4">
        <v>15.32</v>
      </c>
    </row>
    <row r="23" spans="1:26" x14ac:dyDescent="0.25">
      <c r="A23">
        <v>2023</v>
      </c>
      <c r="B23" s="1">
        <v>45152</v>
      </c>
      <c r="C23" s="26">
        <f>B23-B22</f>
        <v>1071</v>
      </c>
      <c r="D23" s="12">
        <v>11.25</v>
      </c>
      <c r="E23" s="21">
        <v>365</v>
      </c>
      <c r="F23" s="6">
        <f t="shared" si="4"/>
        <v>3.8340336134453783</v>
      </c>
      <c r="G23" s="8">
        <v>2023</v>
      </c>
      <c r="H23" s="29">
        <v>1071</v>
      </c>
      <c r="I23" s="9">
        <v>10.86</v>
      </c>
      <c r="J23" s="21">
        <v>365</v>
      </c>
      <c r="K23" s="6">
        <f t="shared" si="5"/>
        <v>3.7011204481792714</v>
      </c>
      <c r="L23" s="8">
        <v>2023</v>
      </c>
      <c r="M23" s="36">
        <v>1071</v>
      </c>
      <c r="N23" s="49">
        <v>7.74</v>
      </c>
      <c r="O23" s="21">
        <v>365</v>
      </c>
      <c r="P23" s="6">
        <f t="shared" si="7"/>
        <v>2.6378151260504201</v>
      </c>
      <c r="Q23" s="3"/>
      <c r="R23" s="9"/>
      <c r="S23" s="9"/>
      <c r="T23" s="9"/>
      <c r="U23" s="10"/>
      <c r="X23" s="109">
        <v>2005</v>
      </c>
      <c r="Y23" s="4">
        <v>14.93</v>
      </c>
      <c r="Z23" s="4">
        <v>15.77</v>
      </c>
    </row>
    <row r="24" spans="1:26" x14ac:dyDescent="0.25">
      <c r="A24">
        <v>2024</v>
      </c>
      <c r="B24" s="1">
        <v>45488</v>
      </c>
      <c r="C24" s="26">
        <f>B24-B23</f>
        <v>336</v>
      </c>
      <c r="D24" s="12">
        <v>2.4700000000000002</v>
      </c>
      <c r="E24" s="21">
        <v>365</v>
      </c>
      <c r="F24" s="6">
        <f>E24*D24/C24</f>
        <v>2.683184523809524</v>
      </c>
      <c r="G24" s="8">
        <v>2024</v>
      </c>
      <c r="H24" s="29">
        <v>336</v>
      </c>
      <c r="I24" s="9">
        <v>1.27</v>
      </c>
      <c r="J24" s="21">
        <v>365</v>
      </c>
      <c r="K24" s="10">
        <f t="shared" si="5"/>
        <v>1.3796130952380952</v>
      </c>
      <c r="L24" s="8">
        <v>2024</v>
      </c>
      <c r="M24" s="36">
        <v>366</v>
      </c>
      <c r="N24" s="49">
        <v>3.44</v>
      </c>
      <c r="O24" s="21">
        <v>365</v>
      </c>
      <c r="P24" s="6">
        <f t="shared" si="7"/>
        <v>3.4306010928961745</v>
      </c>
      <c r="Q24" s="3"/>
      <c r="R24" s="9"/>
      <c r="S24" s="9"/>
      <c r="T24" s="9"/>
      <c r="U24" s="10"/>
      <c r="X24" s="109">
        <v>2006</v>
      </c>
      <c r="Y24" s="4">
        <v>14.81</v>
      </c>
      <c r="Z24" s="4">
        <v>15.5</v>
      </c>
    </row>
    <row r="25" spans="1:26" x14ac:dyDescent="0.25">
      <c r="A25">
        <v>2025</v>
      </c>
      <c r="B25" s="1">
        <v>45931</v>
      </c>
      <c r="C25" s="26">
        <f>B25-B24</f>
        <v>443</v>
      </c>
      <c r="D25" s="12">
        <v>4.41</v>
      </c>
      <c r="E25" s="21">
        <v>365</v>
      </c>
      <c r="F25" s="6">
        <f>E25*D25/C25</f>
        <v>3.6335214446952597</v>
      </c>
      <c r="G25" s="8">
        <v>2025</v>
      </c>
      <c r="H25" s="29">
        <v>443</v>
      </c>
      <c r="I25" s="9">
        <v>5.86</v>
      </c>
      <c r="J25" s="21">
        <v>365</v>
      </c>
      <c r="K25" s="6">
        <f t="shared" si="5"/>
        <v>4.8282167042889395</v>
      </c>
      <c r="L25" s="8">
        <v>2025</v>
      </c>
      <c r="M25" s="36">
        <v>443</v>
      </c>
      <c r="N25" s="49">
        <v>6.14</v>
      </c>
      <c r="O25" s="21">
        <v>365</v>
      </c>
      <c r="P25" s="6">
        <f t="shared" si="7"/>
        <v>5.0589164785553047</v>
      </c>
      <c r="Q25" s="3"/>
      <c r="R25" s="9"/>
      <c r="S25" s="9"/>
      <c r="T25" s="9"/>
      <c r="U25" s="10"/>
      <c r="X25" s="109"/>
      <c r="Y25" s="4"/>
      <c r="Z25" s="4"/>
    </row>
    <row r="26" spans="1:26" x14ac:dyDescent="0.25"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X26" s="109">
        <v>2007</v>
      </c>
      <c r="Y26" s="4">
        <v>14.79</v>
      </c>
      <c r="Z26" s="4">
        <v>15.41</v>
      </c>
    </row>
    <row r="27" spans="1:26" x14ac:dyDescent="0.25">
      <c r="E27" s="3" t="s">
        <v>23</v>
      </c>
      <c r="F27" s="5">
        <f>AVERAGE(F13:F22)</f>
        <v>4.2654561747135133</v>
      </c>
      <c r="G27" s="4"/>
      <c r="H27" s="4"/>
      <c r="I27" s="4"/>
      <c r="J27" s="4"/>
      <c r="K27" s="5">
        <f t="shared" ref="K27:P27" si="8">AVERAGE(K13:K22)</f>
        <v>3.4430209614595193</v>
      </c>
      <c r="L27" s="4"/>
      <c r="M27" s="4"/>
      <c r="N27" s="4"/>
      <c r="O27" s="4"/>
      <c r="P27" s="5">
        <f t="shared" si="8"/>
        <v>3.6139820172662747</v>
      </c>
      <c r="X27" s="109">
        <v>2008</v>
      </c>
      <c r="Y27" s="4">
        <v>14.73</v>
      </c>
      <c r="Z27" s="4">
        <v>15.690000000000001</v>
      </c>
    </row>
    <row r="28" spans="1:26" x14ac:dyDescent="0.25"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X28" s="109">
        <v>2009</v>
      </c>
      <c r="Y28" s="4">
        <v>14.705</v>
      </c>
      <c r="Z28" s="4">
        <v>15.45</v>
      </c>
    </row>
    <row r="29" spans="1:26" x14ac:dyDescent="0.25">
      <c r="E29" s="3" t="s">
        <v>27</v>
      </c>
      <c r="F29" s="5">
        <f>MAX(F13:F25)</f>
        <v>5.4559631432545181</v>
      </c>
      <c r="G29" s="4"/>
      <c r="H29" s="4"/>
      <c r="I29" s="4"/>
      <c r="J29" s="4"/>
      <c r="K29" s="5">
        <f>MAX(K13:K25)</f>
        <v>5.4345454545454555</v>
      </c>
      <c r="L29" s="4"/>
      <c r="M29" s="4"/>
      <c r="N29" s="4"/>
      <c r="O29" s="4"/>
      <c r="P29" s="5">
        <f>MAX(P13:P25)</f>
        <v>5.0589164785553047</v>
      </c>
      <c r="X29" s="109">
        <v>2010</v>
      </c>
      <c r="Y29" s="4">
        <v>14.365</v>
      </c>
      <c r="Z29" s="4">
        <v>15.600000000000001</v>
      </c>
    </row>
    <row r="30" spans="1:26" x14ac:dyDescent="0.25">
      <c r="F30" t="s">
        <v>50</v>
      </c>
      <c r="L30" t="s">
        <v>50</v>
      </c>
      <c r="R30" t="s">
        <v>50</v>
      </c>
      <c r="X30" s="109">
        <v>2011</v>
      </c>
      <c r="Y30" s="4">
        <v>14.405000000000001</v>
      </c>
      <c r="Z30" s="4">
        <v>15.49</v>
      </c>
    </row>
    <row r="31" spans="1:26" x14ac:dyDescent="0.25">
      <c r="C31" s="3" t="s">
        <v>20</v>
      </c>
      <c r="H31" s="3" t="s">
        <v>21</v>
      </c>
      <c r="M31" s="3" t="s">
        <v>22</v>
      </c>
      <c r="X31" s="109">
        <v>2012</v>
      </c>
      <c r="Y31" s="4">
        <v>14.625</v>
      </c>
      <c r="Z31" s="4">
        <v>15.52</v>
      </c>
    </row>
    <row r="32" spans="1:26" x14ac:dyDescent="0.25">
      <c r="A32" s="3">
        <v>1959</v>
      </c>
      <c r="B32" s="1">
        <v>21895</v>
      </c>
      <c r="D32">
        <v>0</v>
      </c>
      <c r="F32" s="3">
        <v>0</v>
      </c>
      <c r="G32" s="3">
        <v>1959</v>
      </c>
      <c r="H32" s="1">
        <v>21895</v>
      </c>
      <c r="J32">
        <v>0</v>
      </c>
      <c r="L32" s="3">
        <v>0</v>
      </c>
      <c r="M32" s="3">
        <v>1959</v>
      </c>
      <c r="N32" s="1">
        <v>21895</v>
      </c>
      <c r="P32">
        <v>0</v>
      </c>
      <c r="R32" s="3">
        <v>0</v>
      </c>
      <c r="X32" s="109">
        <v>2013</v>
      </c>
      <c r="Y32" s="4">
        <v>14.755000000000001</v>
      </c>
      <c r="Z32" s="4">
        <v>15.370000000000001</v>
      </c>
    </row>
    <row r="33" spans="1:26" x14ac:dyDescent="0.25">
      <c r="A33" s="3">
        <v>1965</v>
      </c>
      <c r="B33" s="1">
        <v>23949</v>
      </c>
      <c r="D33" s="4">
        <v>35.099999999999966</v>
      </c>
      <c r="F33" s="5">
        <f>F32+D33</f>
        <v>35.099999999999966</v>
      </c>
      <c r="G33" s="24">
        <v>1965</v>
      </c>
      <c r="H33" s="1">
        <v>23949</v>
      </c>
      <c r="J33" s="4">
        <v>45.900000000000034</v>
      </c>
      <c r="L33" s="5">
        <f>L32+J33</f>
        <v>45.900000000000034</v>
      </c>
      <c r="M33" s="5">
        <v>1965</v>
      </c>
      <c r="N33" s="1">
        <v>23949</v>
      </c>
      <c r="P33" s="4">
        <v>49</v>
      </c>
      <c r="R33" s="5">
        <f>R32+P33</f>
        <v>49</v>
      </c>
      <c r="X33" s="109">
        <v>2014</v>
      </c>
      <c r="Y33" s="4">
        <v>14.52</v>
      </c>
      <c r="Z33" s="4">
        <v>15.45</v>
      </c>
    </row>
    <row r="34" spans="1:26" x14ac:dyDescent="0.25">
      <c r="A34" s="3">
        <v>1970</v>
      </c>
      <c r="B34" s="1">
        <v>25769</v>
      </c>
      <c r="D34" s="4">
        <v>27.900000000000034</v>
      </c>
      <c r="F34" s="5">
        <f t="shared" ref="F34:F47" si="9">F33+D34</f>
        <v>63</v>
      </c>
      <c r="G34" s="24">
        <v>1974</v>
      </c>
      <c r="H34" s="1">
        <v>27228</v>
      </c>
      <c r="J34" s="4">
        <v>15.099999999999966</v>
      </c>
      <c r="L34" s="5">
        <f>L33+J34</f>
        <v>61</v>
      </c>
      <c r="M34" s="5">
        <v>1970</v>
      </c>
      <c r="N34" s="1">
        <v>25769</v>
      </c>
      <c r="P34" s="4">
        <v>29</v>
      </c>
      <c r="R34" s="5">
        <f t="shared" ref="R34:R50" si="10">R33+P34</f>
        <v>78</v>
      </c>
      <c r="X34" s="109">
        <v>2015</v>
      </c>
      <c r="Y34" s="4">
        <v>14.55</v>
      </c>
      <c r="Z34" s="4">
        <v>15.18</v>
      </c>
    </row>
    <row r="35" spans="1:26" x14ac:dyDescent="0.25">
      <c r="A35" s="3">
        <v>1974</v>
      </c>
      <c r="B35" s="1">
        <v>27228</v>
      </c>
      <c r="D35" s="4">
        <v>21.100000000000023</v>
      </c>
      <c r="F35" s="5">
        <f t="shared" si="9"/>
        <v>84.100000000000023</v>
      </c>
      <c r="G35" s="24">
        <v>1980</v>
      </c>
      <c r="H35" s="1">
        <v>29528</v>
      </c>
      <c r="J35" s="4">
        <v>26.609999999999985</v>
      </c>
      <c r="L35" s="5">
        <f>L34+J35</f>
        <v>87.609999999999985</v>
      </c>
      <c r="M35" s="5">
        <v>1974</v>
      </c>
      <c r="N35" s="1">
        <v>27228</v>
      </c>
      <c r="P35" s="4">
        <v>27.999999999999972</v>
      </c>
      <c r="R35" s="5">
        <f t="shared" si="10"/>
        <v>105.99999999999997</v>
      </c>
      <c r="X35" s="109">
        <v>2016</v>
      </c>
      <c r="Y35" s="4">
        <v>14.785</v>
      </c>
      <c r="Z35" s="4">
        <v>15.600000000000001</v>
      </c>
    </row>
    <row r="36" spans="1:26" x14ac:dyDescent="0.25">
      <c r="A36" s="3">
        <v>1980</v>
      </c>
      <c r="B36" s="1">
        <v>29528</v>
      </c>
      <c r="D36" s="4">
        <v>26.799999999999955</v>
      </c>
      <c r="F36" s="5">
        <f t="shared" si="9"/>
        <v>110.89999999999998</v>
      </c>
      <c r="G36" s="24">
        <v>1986</v>
      </c>
      <c r="H36" s="1">
        <v>31716</v>
      </c>
      <c r="J36" s="4">
        <v>28.440000000000026</v>
      </c>
      <c r="L36" s="5">
        <f t="shared" ref="L36:L49" si="11">L35+J36</f>
        <v>116.05000000000001</v>
      </c>
      <c r="M36" s="5">
        <v>1980</v>
      </c>
      <c r="N36" s="1">
        <v>29528</v>
      </c>
      <c r="P36" s="4">
        <v>28.400000000000006</v>
      </c>
      <c r="R36" s="5">
        <f t="shared" si="10"/>
        <v>134.39999999999998</v>
      </c>
      <c r="X36" s="109">
        <v>2017</v>
      </c>
      <c r="Y36" s="4">
        <v>14.78</v>
      </c>
      <c r="Z36" s="4">
        <v>15.45</v>
      </c>
    </row>
    <row r="37" spans="1:26" x14ac:dyDescent="0.25">
      <c r="A37" s="3">
        <v>1986</v>
      </c>
      <c r="B37" s="1">
        <v>31716</v>
      </c>
      <c r="D37" s="4">
        <v>28.600000000000023</v>
      </c>
      <c r="F37" s="5">
        <f t="shared" si="9"/>
        <v>139.5</v>
      </c>
      <c r="G37" s="24">
        <v>1991</v>
      </c>
      <c r="H37" s="1">
        <v>33528</v>
      </c>
      <c r="J37" s="4">
        <v>27.75</v>
      </c>
      <c r="L37" s="5">
        <f t="shared" si="11"/>
        <v>143.80000000000001</v>
      </c>
      <c r="M37" s="5">
        <v>1986</v>
      </c>
      <c r="N37" s="1">
        <v>31716</v>
      </c>
      <c r="P37" s="4">
        <v>26.399999999999977</v>
      </c>
      <c r="R37" s="5">
        <f t="shared" si="10"/>
        <v>160.79999999999995</v>
      </c>
      <c r="X37" s="109">
        <v>2018</v>
      </c>
      <c r="Y37" s="4">
        <v>14.64</v>
      </c>
      <c r="Z37" s="4">
        <v>15.2</v>
      </c>
    </row>
    <row r="38" spans="1:26" x14ac:dyDescent="0.25">
      <c r="A38" s="3">
        <v>1991</v>
      </c>
      <c r="B38" s="1">
        <v>33528</v>
      </c>
      <c r="D38" s="4">
        <v>30.759999999999991</v>
      </c>
      <c r="F38" s="5">
        <f t="shared" si="9"/>
        <v>170.26</v>
      </c>
      <c r="G38" s="24">
        <v>1995</v>
      </c>
      <c r="H38" s="1">
        <v>34895</v>
      </c>
      <c r="J38" s="4">
        <v>18.519999999999982</v>
      </c>
      <c r="L38" s="5">
        <f t="shared" si="11"/>
        <v>162.32</v>
      </c>
      <c r="M38" s="5">
        <v>1991</v>
      </c>
      <c r="N38" s="1">
        <v>33528</v>
      </c>
      <c r="P38" s="4">
        <v>24.04000000000002</v>
      </c>
      <c r="R38" s="5">
        <f t="shared" si="10"/>
        <v>184.83999999999997</v>
      </c>
    </row>
    <row r="39" spans="1:26" x14ac:dyDescent="0.25">
      <c r="A39" s="3">
        <v>1999</v>
      </c>
      <c r="B39" s="1">
        <v>36404</v>
      </c>
      <c r="D39" s="4">
        <v>42.989999999999981</v>
      </c>
      <c r="F39" s="5">
        <f t="shared" si="9"/>
        <v>213.24999999999997</v>
      </c>
      <c r="G39" s="24">
        <v>2003</v>
      </c>
      <c r="H39" s="1">
        <v>37817</v>
      </c>
      <c r="J39" s="4">
        <v>19.970000000000027</v>
      </c>
      <c r="L39" s="5">
        <f t="shared" si="11"/>
        <v>182.29000000000002</v>
      </c>
      <c r="M39" s="5">
        <v>1995</v>
      </c>
      <c r="N39" s="1">
        <v>34895</v>
      </c>
      <c r="P39" s="4">
        <v>18.919999999999987</v>
      </c>
      <c r="R39" s="5">
        <f t="shared" si="10"/>
        <v>203.75999999999996</v>
      </c>
    </row>
    <row r="40" spans="1:26" x14ac:dyDescent="0.25">
      <c r="A40" s="3">
        <v>2006</v>
      </c>
      <c r="B40" s="1">
        <v>38986</v>
      </c>
      <c r="D40" s="4">
        <v>32.390000000000015</v>
      </c>
      <c r="F40" s="5">
        <f t="shared" si="9"/>
        <v>245.64</v>
      </c>
      <c r="G40" s="24">
        <v>2006</v>
      </c>
      <c r="H40" s="1">
        <v>38986</v>
      </c>
      <c r="J40" s="4">
        <v>13.929999999999978</v>
      </c>
      <c r="L40" s="5">
        <f t="shared" si="11"/>
        <v>196.22</v>
      </c>
      <c r="M40" s="5">
        <v>1999</v>
      </c>
      <c r="N40" s="1">
        <v>36404</v>
      </c>
      <c r="P40" s="4">
        <v>18.410000000000011</v>
      </c>
      <c r="R40" s="5">
        <f t="shared" si="10"/>
        <v>222.16999999999996</v>
      </c>
    </row>
    <row r="41" spans="1:26" x14ac:dyDescent="0.25">
      <c r="A41" s="3">
        <v>2009</v>
      </c>
      <c r="B41" s="1">
        <v>40009</v>
      </c>
      <c r="D41" s="4">
        <v>14.850000000000023</v>
      </c>
      <c r="F41" s="5">
        <f t="shared" si="9"/>
        <v>260.49</v>
      </c>
      <c r="G41" s="24">
        <v>2009</v>
      </c>
      <c r="H41" s="1">
        <v>40009</v>
      </c>
      <c r="J41" s="4">
        <v>11.810000000000002</v>
      </c>
      <c r="L41" s="5">
        <f t="shared" si="11"/>
        <v>208.03</v>
      </c>
      <c r="M41" s="5">
        <v>2006</v>
      </c>
      <c r="N41" s="1">
        <v>38986</v>
      </c>
      <c r="P41" s="4">
        <v>32.03</v>
      </c>
      <c r="R41" s="5">
        <f t="shared" si="10"/>
        <v>254.19999999999996</v>
      </c>
    </row>
    <row r="42" spans="1:26" x14ac:dyDescent="0.25">
      <c r="A42" s="3">
        <v>2011</v>
      </c>
      <c r="B42" s="1">
        <v>40798</v>
      </c>
      <c r="D42" s="14">
        <v>5.7099999999999795</v>
      </c>
      <c r="F42" s="5">
        <f t="shared" si="9"/>
        <v>266.2</v>
      </c>
      <c r="G42" s="24">
        <v>2011</v>
      </c>
      <c r="H42" s="1">
        <v>40798</v>
      </c>
      <c r="J42" s="9">
        <v>3.0699999999999932</v>
      </c>
      <c r="L42" s="5">
        <f t="shared" si="11"/>
        <v>211.1</v>
      </c>
      <c r="M42" s="5">
        <v>2009</v>
      </c>
      <c r="N42" s="1">
        <v>40009</v>
      </c>
      <c r="P42" s="4">
        <v>13.079999999999998</v>
      </c>
      <c r="R42" s="5">
        <f t="shared" si="10"/>
        <v>267.27999999999997</v>
      </c>
    </row>
    <row r="43" spans="1:26" x14ac:dyDescent="0.25">
      <c r="A43" s="3">
        <v>2013</v>
      </c>
      <c r="B43" s="1">
        <v>41458</v>
      </c>
      <c r="D43" s="14">
        <v>8.0200000000000102</v>
      </c>
      <c r="F43" s="5">
        <f t="shared" si="9"/>
        <v>274.22000000000003</v>
      </c>
      <c r="G43" s="24">
        <v>2012</v>
      </c>
      <c r="H43" s="1">
        <v>41177</v>
      </c>
      <c r="J43" s="9">
        <v>3.5800000000000125</v>
      </c>
      <c r="L43" s="5">
        <f t="shared" si="11"/>
        <v>214.68</v>
      </c>
      <c r="M43" s="5">
        <v>2011</v>
      </c>
      <c r="N43" s="1">
        <v>40798</v>
      </c>
      <c r="P43" s="9">
        <v>3.5200000000000102</v>
      </c>
      <c r="R43" s="5">
        <f t="shared" si="10"/>
        <v>270.79999999999995</v>
      </c>
    </row>
    <row r="44" spans="1:26" x14ac:dyDescent="0.25">
      <c r="A44" s="3">
        <v>2016</v>
      </c>
      <c r="B44" s="1">
        <v>42420</v>
      </c>
      <c r="D44" s="14">
        <v>11.22999999999999</v>
      </c>
      <c r="F44" s="5">
        <f>F43+D44</f>
        <v>285.45000000000005</v>
      </c>
      <c r="G44" s="24">
        <v>2013</v>
      </c>
      <c r="H44" s="1">
        <v>41458</v>
      </c>
      <c r="J44" s="9">
        <v>0.79999999999998295</v>
      </c>
      <c r="L44" s="5">
        <f t="shared" si="11"/>
        <v>215.48</v>
      </c>
      <c r="M44" s="5">
        <v>2012</v>
      </c>
      <c r="N44" s="1">
        <v>41177</v>
      </c>
      <c r="P44" s="9">
        <v>2.6799999999999926</v>
      </c>
      <c r="R44" s="5">
        <f t="shared" si="10"/>
        <v>273.47999999999996</v>
      </c>
    </row>
    <row r="45" spans="1:26" x14ac:dyDescent="0.25">
      <c r="A45" s="3">
        <v>2020</v>
      </c>
      <c r="B45" s="1">
        <v>44081</v>
      </c>
      <c r="D45" s="12">
        <v>19.099999999999994</v>
      </c>
      <c r="F45" s="5">
        <f t="shared" si="9"/>
        <v>304.55000000000007</v>
      </c>
      <c r="G45" s="24">
        <v>2016</v>
      </c>
      <c r="H45" s="1">
        <v>42420</v>
      </c>
      <c r="J45" s="9">
        <v>11.690000000000012</v>
      </c>
      <c r="L45" s="5">
        <f t="shared" si="11"/>
        <v>227.17000000000002</v>
      </c>
      <c r="M45" s="5">
        <v>2013</v>
      </c>
      <c r="N45" s="1">
        <v>41458</v>
      </c>
      <c r="P45" s="9">
        <v>1.8900000000000006</v>
      </c>
      <c r="R45" s="5">
        <f t="shared" si="10"/>
        <v>275.36999999999995</v>
      </c>
    </row>
    <row r="46" spans="1:26" x14ac:dyDescent="0.25">
      <c r="A46" s="3">
        <v>2023</v>
      </c>
      <c r="B46" s="1">
        <v>45152</v>
      </c>
      <c r="D46" s="12">
        <v>31.25</v>
      </c>
      <c r="F46" s="5">
        <f t="shared" si="9"/>
        <v>335.80000000000007</v>
      </c>
      <c r="G46" s="24">
        <v>2019</v>
      </c>
      <c r="H46" s="1">
        <v>43718</v>
      </c>
      <c r="J46" s="9">
        <v>14.689999999999998</v>
      </c>
      <c r="L46" s="5">
        <f t="shared" si="11"/>
        <v>241.86</v>
      </c>
      <c r="M46" s="5">
        <v>2016</v>
      </c>
      <c r="N46" s="1">
        <v>42420</v>
      </c>
      <c r="P46" s="9">
        <v>10.39</v>
      </c>
      <c r="R46" s="5">
        <f t="shared" si="10"/>
        <v>285.75999999999993</v>
      </c>
    </row>
    <row r="47" spans="1:26" x14ac:dyDescent="0.25">
      <c r="A47" s="3">
        <v>2024</v>
      </c>
      <c r="B47" s="1">
        <v>45488</v>
      </c>
      <c r="D47" s="12">
        <v>2.4700000000000002</v>
      </c>
      <c r="F47" s="5">
        <f t="shared" si="9"/>
        <v>338.2700000000001</v>
      </c>
      <c r="G47" s="24">
        <v>2020</v>
      </c>
      <c r="H47" s="1">
        <v>44081</v>
      </c>
      <c r="J47" s="9">
        <v>5.3900000000000006</v>
      </c>
      <c r="L47" s="5">
        <f t="shared" si="11"/>
        <v>247.25</v>
      </c>
      <c r="M47" s="5">
        <v>2019</v>
      </c>
      <c r="N47" s="1">
        <v>43718</v>
      </c>
      <c r="P47" s="49">
        <v>12.32</v>
      </c>
      <c r="R47" s="5">
        <f t="shared" si="10"/>
        <v>298.07999999999993</v>
      </c>
    </row>
    <row r="48" spans="1:26" x14ac:dyDescent="0.25">
      <c r="G48" s="24">
        <v>2023</v>
      </c>
      <c r="H48" s="1">
        <v>45152</v>
      </c>
      <c r="J48" s="9">
        <v>10.86</v>
      </c>
      <c r="L48" s="5">
        <f t="shared" si="11"/>
        <v>258.11</v>
      </c>
      <c r="M48" s="5">
        <v>2020</v>
      </c>
      <c r="N48" s="1">
        <v>44081</v>
      </c>
      <c r="P48" s="49">
        <v>4.75</v>
      </c>
      <c r="R48" s="5">
        <f t="shared" si="10"/>
        <v>302.82999999999993</v>
      </c>
    </row>
    <row r="49" spans="7:18" x14ac:dyDescent="0.25">
      <c r="G49" s="24">
        <v>2024</v>
      </c>
      <c r="H49" s="1">
        <v>45488</v>
      </c>
      <c r="J49" s="9">
        <v>1.27</v>
      </c>
      <c r="L49" s="5">
        <f t="shared" si="11"/>
        <v>259.38</v>
      </c>
      <c r="M49" s="5">
        <v>2023</v>
      </c>
      <c r="N49" s="1">
        <v>45152</v>
      </c>
      <c r="P49" s="49">
        <v>7.74</v>
      </c>
      <c r="R49" s="5">
        <f t="shared" si="10"/>
        <v>310.56999999999994</v>
      </c>
    </row>
    <row r="50" spans="7:18" x14ac:dyDescent="0.25">
      <c r="M50" s="5">
        <v>2024</v>
      </c>
      <c r="N50" s="1">
        <v>45488</v>
      </c>
      <c r="O50" s="49"/>
      <c r="P50" s="49">
        <v>3.44</v>
      </c>
      <c r="Q50" s="5"/>
      <c r="R50" s="5">
        <f t="shared" si="10"/>
        <v>314.00999999999993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120" zoomScaleNormal="120" workbookViewId="0">
      <selection activeCell="E24" sqref="E24"/>
    </sheetView>
  </sheetViews>
  <sheetFormatPr defaultRowHeight="15" x14ac:dyDescent="0.25"/>
  <cols>
    <col min="1" max="1" width="16.85546875" customWidth="1"/>
    <col min="2" max="2" width="12.42578125" customWidth="1"/>
    <col min="3" max="3" width="13.7109375" customWidth="1"/>
    <col min="4" max="4" width="12" customWidth="1"/>
    <col min="5" max="5" width="19" customWidth="1"/>
    <col min="6" max="6" width="13.5703125" customWidth="1"/>
    <col min="7" max="7" width="16.7109375" customWidth="1"/>
    <col min="8" max="8" width="17.140625" customWidth="1"/>
  </cols>
  <sheetData>
    <row r="1" spans="1:8" x14ac:dyDescent="0.25">
      <c r="A1" s="113" t="s">
        <v>25</v>
      </c>
      <c r="B1" s="113" t="s">
        <v>26</v>
      </c>
      <c r="C1" s="113" t="s">
        <v>30</v>
      </c>
      <c r="D1" s="113"/>
    </row>
    <row r="2" spans="1:8" ht="46.5" customHeight="1" x14ac:dyDescent="0.25">
      <c r="A2" s="114"/>
      <c r="B2" s="114"/>
      <c r="C2" s="38" t="s">
        <v>31</v>
      </c>
      <c r="D2" s="38" t="s">
        <v>32</v>
      </c>
      <c r="E2" s="40"/>
      <c r="F2" s="40"/>
      <c r="G2" s="41"/>
      <c r="H2" s="41"/>
    </row>
    <row r="3" spans="1:8" x14ac:dyDescent="0.25">
      <c r="A3" s="115" t="s">
        <v>10</v>
      </c>
      <c r="B3" s="38">
        <v>60</v>
      </c>
      <c r="C3" s="37">
        <v>3.35</v>
      </c>
      <c r="D3" s="37">
        <v>4.92</v>
      </c>
      <c r="E3" s="118"/>
      <c r="F3" s="41"/>
      <c r="G3" s="40"/>
      <c r="H3" s="42"/>
    </row>
    <row r="4" spans="1:8" x14ac:dyDescent="0.25">
      <c r="A4" s="115"/>
      <c r="B4" s="38">
        <v>61</v>
      </c>
      <c r="C4" s="39">
        <v>3.6</v>
      </c>
      <c r="D4" s="37">
        <v>7.63</v>
      </c>
      <c r="E4" s="118"/>
      <c r="F4" s="41"/>
      <c r="G4" s="40"/>
      <c r="H4" s="40"/>
    </row>
    <row r="5" spans="1:8" x14ac:dyDescent="0.25">
      <c r="A5" s="115"/>
      <c r="B5" s="38">
        <v>62</v>
      </c>
      <c r="C5" s="37">
        <v>3.64</v>
      </c>
      <c r="D5" s="37">
        <v>8.19</v>
      </c>
      <c r="E5" s="118"/>
      <c r="F5" s="41"/>
      <c r="G5" s="40"/>
      <c r="H5" s="40"/>
    </row>
    <row r="6" spans="1:8" x14ac:dyDescent="0.25">
      <c r="A6" s="115" t="s">
        <v>12</v>
      </c>
      <c r="B6" s="38">
        <v>57</v>
      </c>
      <c r="C6" s="39">
        <v>0.9</v>
      </c>
      <c r="D6" s="37">
        <v>2.75</v>
      </c>
      <c r="E6" s="118"/>
      <c r="F6" s="41"/>
      <c r="G6" s="40"/>
      <c r="H6" s="42"/>
    </row>
    <row r="7" spans="1:8" x14ac:dyDescent="0.25">
      <c r="A7" s="115"/>
      <c r="B7" s="38">
        <v>58</v>
      </c>
      <c r="C7" s="37">
        <v>0.98</v>
      </c>
      <c r="D7" s="37">
        <v>2.58</v>
      </c>
      <c r="E7" s="119"/>
      <c r="F7" s="41"/>
      <c r="G7" s="40"/>
      <c r="H7" s="40"/>
    </row>
    <row r="8" spans="1:8" x14ac:dyDescent="0.25">
      <c r="A8" s="115"/>
      <c r="B8" s="38">
        <v>59</v>
      </c>
      <c r="C8" s="39">
        <v>0.7</v>
      </c>
      <c r="D8" s="39">
        <v>1.6</v>
      </c>
      <c r="E8" s="118"/>
      <c r="F8" s="41"/>
      <c r="G8" s="40"/>
      <c r="H8" s="40"/>
    </row>
    <row r="9" spans="1:8" x14ac:dyDescent="0.25">
      <c r="A9" s="116" t="s">
        <v>11</v>
      </c>
      <c r="B9" s="38">
        <v>52</v>
      </c>
      <c r="C9" s="37">
        <v>2.27</v>
      </c>
      <c r="D9" s="37">
        <v>4.29</v>
      </c>
      <c r="E9" s="119"/>
      <c r="F9" s="41"/>
      <c r="G9" s="40"/>
      <c r="H9" s="40"/>
    </row>
    <row r="10" spans="1:8" x14ac:dyDescent="0.25">
      <c r="A10" s="117"/>
      <c r="B10" s="38">
        <v>54</v>
      </c>
      <c r="C10" s="37">
        <v>2.94</v>
      </c>
      <c r="D10" s="37">
        <v>5.07</v>
      </c>
      <c r="E10" s="118"/>
      <c r="F10" s="41"/>
      <c r="G10" s="40"/>
      <c r="H10" s="40"/>
    </row>
    <row r="11" spans="1:8" x14ac:dyDescent="0.25">
      <c r="A11" s="115" t="s">
        <v>19</v>
      </c>
      <c r="B11" s="38">
        <v>49</v>
      </c>
      <c r="C11" s="37">
        <v>4.2699999999999996</v>
      </c>
      <c r="D11" s="37">
        <v>5.46</v>
      </c>
      <c r="E11" s="118"/>
      <c r="F11" s="41"/>
      <c r="G11" s="40"/>
      <c r="H11" s="40"/>
    </row>
    <row r="12" spans="1:8" x14ac:dyDescent="0.25">
      <c r="A12" s="115"/>
      <c r="B12" s="38">
        <v>50</v>
      </c>
      <c r="C12" s="37">
        <v>3.44</v>
      </c>
      <c r="D12" s="37">
        <v>5.43</v>
      </c>
      <c r="E12" s="118"/>
      <c r="F12" s="41"/>
      <c r="G12" s="40"/>
      <c r="H12" s="40"/>
    </row>
    <row r="13" spans="1:8" x14ac:dyDescent="0.25">
      <c r="A13" s="115"/>
      <c r="B13" s="38">
        <v>51</v>
      </c>
      <c r="C13" s="37">
        <v>3.61</v>
      </c>
      <c r="D13" s="37">
        <v>4.79</v>
      </c>
      <c r="E13" s="118"/>
      <c r="F13" s="41"/>
      <c r="G13" s="40"/>
      <c r="H13" s="40"/>
    </row>
    <row r="14" spans="1:8" x14ac:dyDescent="0.25">
      <c r="A14" s="116" t="s">
        <v>16</v>
      </c>
      <c r="B14" s="38">
        <v>4</v>
      </c>
      <c r="C14" s="37">
        <v>0.46</v>
      </c>
      <c r="D14" s="37">
        <v>2.42</v>
      </c>
    </row>
    <row r="15" spans="1:8" x14ac:dyDescent="0.25">
      <c r="A15" s="117"/>
      <c r="B15" s="38">
        <v>5</v>
      </c>
      <c r="C15" s="37">
        <v>0.15</v>
      </c>
      <c r="D15" s="39">
        <v>0.5</v>
      </c>
    </row>
    <row r="16" spans="1:8" x14ac:dyDescent="0.25">
      <c r="A16" s="115" t="s">
        <v>9</v>
      </c>
      <c r="B16" s="38">
        <v>1</v>
      </c>
      <c r="C16" s="37">
        <v>0.97</v>
      </c>
      <c r="D16" s="39">
        <v>2.9</v>
      </c>
    </row>
    <row r="17" spans="1:4" x14ac:dyDescent="0.25">
      <c r="A17" s="115"/>
      <c r="B17" s="38">
        <v>2</v>
      </c>
      <c r="C17" s="37">
        <v>1.33</v>
      </c>
      <c r="D17" s="37">
        <v>3.93</v>
      </c>
    </row>
    <row r="18" spans="1:4" x14ac:dyDescent="0.25">
      <c r="A18" s="115"/>
      <c r="B18" s="38">
        <v>3</v>
      </c>
      <c r="C18" s="37">
        <v>0.78</v>
      </c>
      <c r="D18" s="37">
        <v>2.09</v>
      </c>
    </row>
    <row r="19" spans="1:4" x14ac:dyDescent="0.25">
      <c r="A19" s="116" t="s">
        <v>8</v>
      </c>
      <c r="B19" s="38">
        <v>2</v>
      </c>
      <c r="C19" s="37">
        <v>0.99</v>
      </c>
      <c r="D19" s="39">
        <v>3.04</v>
      </c>
    </row>
    <row r="20" spans="1:4" x14ac:dyDescent="0.25">
      <c r="A20" s="117"/>
      <c r="B20" s="38">
        <v>3</v>
      </c>
      <c r="C20" s="37">
        <v>1.07</v>
      </c>
      <c r="D20" s="37">
        <v>2.23</v>
      </c>
    </row>
    <row r="21" spans="1:4" x14ac:dyDescent="0.25">
      <c r="A21" s="116" t="s">
        <v>18</v>
      </c>
      <c r="B21" s="38">
        <v>1</v>
      </c>
      <c r="C21" s="37">
        <v>0.05</v>
      </c>
      <c r="D21" s="37">
        <v>0.25</v>
      </c>
    </row>
    <row r="22" spans="1:4" x14ac:dyDescent="0.25">
      <c r="A22" s="117"/>
      <c r="B22" s="38">
        <v>2</v>
      </c>
      <c r="C22" s="37">
        <v>0.05</v>
      </c>
      <c r="D22" s="37">
        <v>0.16</v>
      </c>
    </row>
    <row r="23" spans="1:4" x14ac:dyDescent="0.25">
      <c r="A23" s="115" t="s">
        <v>0</v>
      </c>
      <c r="B23" s="38">
        <v>1</v>
      </c>
      <c r="C23" s="37">
        <v>0.97</v>
      </c>
      <c r="D23" s="37">
        <v>2.04</v>
      </c>
    </row>
    <row r="24" spans="1:4" x14ac:dyDescent="0.25">
      <c r="A24" s="115"/>
      <c r="B24" s="38">
        <v>2</v>
      </c>
      <c r="C24" s="37">
        <v>0.77</v>
      </c>
      <c r="D24" s="37">
        <v>1.62</v>
      </c>
    </row>
    <row r="25" spans="1:4" x14ac:dyDescent="0.25">
      <c r="A25" s="115"/>
      <c r="B25" s="38">
        <v>3</v>
      </c>
      <c r="C25" s="37">
        <v>0.39</v>
      </c>
      <c r="D25" s="37">
        <v>0.71</v>
      </c>
    </row>
    <row r="26" spans="1:4" x14ac:dyDescent="0.25">
      <c r="A26" s="115"/>
      <c r="B26" s="38">
        <v>4</v>
      </c>
      <c r="C26" s="37">
        <v>1.21</v>
      </c>
      <c r="D26" s="37">
        <v>3.95</v>
      </c>
    </row>
  </sheetData>
  <mergeCells count="16">
    <mergeCell ref="E3:E5"/>
    <mergeCell ref="E6:E7"/>
    <mergeCell ref="E8:E9"/>
    <mergeCell ref="E10:E13"/>
    <mergeCell ref="B1:B2"/>
    <mergeCell ref="A1:A2"/>
    <mergeCell ref="C1:D1"/>
    <mergeCell ref="A23:A26"/>
    <mergeCell ref="A9:A10"/>
    <mergeCell ref="A14:A15"/>
    <mergeCell ref="A21:A22"/>
    <mergeCell ref="A19:A20"/>
    <mergeCell ref="A3:A5"/>
    <mergeCell ref="A6:A8"/>
    <mergeCell ref="A11:A13"/>
    <mergeCell ref="A16:A18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120" zoomScaleNormal="120" workbookViewId="0">
      <selection activeCell="E22" sqref="E22:H22"/>
    </sheetView>
  </sheetViews>
  <sheetFormatPr defaultRowHeight="15" x14ac:dyDescent="0.25"/>
  <cols>
    <col min="1" max="1" width="16.85546875" customWidth="1"/>
    <col min="2" max="2" width="12.42578125" customWidth="1"/>
    <col min="3" max="3" width="13.7109375" customWidth="1"/>
    <col min="4" max="4" width="12" customWidth="1"/>
    <col min="5" max="5" width="19" customWidth="1"/>
    <col min="6" max="6" width="13.5703125" customWidth="1"/>
    <col min="7" max="7" width="16.7109375" customWidth="1"/>
    <col min="8" max="8" width="17.140625" customWidth="1"/>
  </cols>
  <sheetData>
    <row r="1" spans="1:8" x14ac:dyDescent="0.25">
      <c r="A1" s="113" t="s">
        <v>25</v>
      </c>
      <c r="B1" s="113" t="s">
        <v>26</v>
      </c>
      <c r="C1" s="113" t="s">
        <v>30</v>
      </c>
      <c r="D1" s="113"/>
      <c r="E1" s="113" t="s">
        <v>25</v>
      </c>
      <c r="F1" s="113" t="s">
        <v>26</v>
      </c>
      <c r="G1" s="113" t="s">
        <v>30</v>
      </c>
      <c r="H1" s="113"/>
    </row>
    <row r="2" spans="1:8" ht="46.5" customHeight="1" x14ac:dyDescent="0.25">
      <c r="A2" s="114"/>
      <c r="B2" s="114"/>
      <c r="C2" s="38" t="s">
        <v>31</v>
      </c>
      <c r="D2" s="38" t="s">
        <v>32</v>
      </c>
      <c r="E2" s="114"/>
      <c r="F2" s="114"/>
      <c r="G2" s="38" t="s">
        <v>31</v>
      </c>
      <c r="H2" s="38" t="s">
        <v>32</v>
      </c>
    </row>
    <row r="3" spans="1:8" ht="15.75" customHeight="1" x14ac:dyDescent="0.25">
      <c r="A3" s="120" t="s">
        <v>33</v>
      </c>
      <c r="B3" s="123"/>
      <c r="C3" s="123"/>
      <c r="D3" s="124"/>
      <c r="E3" s="120" t="s">
        <v>34</v>
      </c>
      <c r="F3" s="121"/>
      <c r="G3" s="121"/>
      <c r="H3" s="122"/>
    </row>
    <row r="4" spans="1:8" ht="16.5" customHeight="1" x14ac:dyDescent="0.25">
      <c r="A4" s="116" t="s">
        <v>11</v>
      </c>
      <c r="B4" s="38">
        <v>52</v>
      </c>
      <c r="C4" s="45">
        <v>2.27</v>
      </c>
      <c r="D4" s="45">
        <v>4.29</v>
      </c>
      <c r="E4" s="116" t="s">
        <v>16</v>
      </c>
      <c r="F4" s="38">
        <v>4</v>
      </c>
      <c r="G4" s="45">
        <v>0.46</v>
      </c>
      <c r="H4" s="45">
        <v>2.42</v>
      </c>
    </row>
    <row r="5" spans="1:8" ht="16.5" customHeight="1" x14ac:dyDescent="0.25">
      <c r="A5" s="117"/>
      <c r="B5" s="38">
        <v>54</v>
      </c>
      <c r="C5" s="45">
        <v>2.94</v>
      </c>
      <c r="D5" s="45">
        <v>5.07</v>
      </c>
      <c r="E5" s="117"/>
      <c r="F5" s="38">
        <v>5</v>
      </c>
      <c r="G5" s="45">
        <v>0.15</v>
      </c>
      <c r="H5" s="39">
        <v>0.5</v>
      </c>
    </row>
    <row r="6" spans="1:8" ht="16.5" customHeight="1" x14ac:dyDescent="0.25">
      <c r="A6" s="115" t="s">
        <v>19</v>
      </c>
      <c r="B6" s="38">
        <v>49</v>
      </c>
      <c r="C6" s="45">
        <v>4.2699999999999996</v>
      </c>
      <c r="D6" s="45">
        <v>5.46</v>
      </c>
      <c r="E6" s="116" t="s">
        <v>18</v>
      </c>
      <c r="F6" s="38">
        <v>1</v>
      </c>
      <c r="G6" s="45">
        <v>0.05</v>
      </c>
      <c r="H6" s="45">
        <v>0.25</v>
      </c>
    </row>
    <row r="7" spans="1:8" ht="16.5" customHeight="1" x14ac:dyDescent="0.25">
      <c r="A7" s="115"/>
      <c r="B7" s="38">
        <v>50</v>
      </c>
      <c r="C7" s="45">
        <v>3.44</v>
      </c>
      <c r="D7" s="45">
        <v>5.43</v>
      </c>
      <c r="E7" s="117"/>
      <c r="F7" s="38">
        <v>2</v>
      </c>
      <c r="G7" s="45">
        <v>0.05</v>
      </c>
      <c r="H7" s="45">
        <v>0.16</v>
      </c>
    </row>
    <row r="8" spans="1:8" ht="16.5" customHeight="1" x14ac:dyDescent="0.25">
      <c r="A8" s="115"/>
      <c r="B8" s="38">
        <v>51</v>
      </c>
      <c r="C8" s="45">
        <v>3.61</v>
      </c>
      <c r="D8" s="45">
        <v>4.79</v>
      </c>
      <c r="E8" s="115" t="s">
        <v>0</v>
      </c>
      <c r="F8" s="38">
        <v>1</v>
      </c>
      <c r="G8" s="45">
        <v>0.97</v>
      </c>
      <c r="H8" s="45">
        <v>2.04</v>
      </c>
    </row>
    <row r="9" spans="1:8" ht="16.5" customHeight="1" x14ac:dyDescent="0.25">
      <c r="A9" s="120" t="s">
        <v>35</v>
      </c>
      <c r="B9" s="121"/>
      <c r="C9" s="121"/>
      <c r="D9" s="122"/>
      <c r="E9" s="115"/>
      <c r="F9" s="38">
        <v>2</v>
      </c>
      <c r="G9" s="45">
        <v>0.77</v>
      </c>
      <c r="H9" s="45">
        <v>1.62</v>
      </c>
    </row>
    <row r="10" spans="1:8" x14ac:dyDescent="0.25">
      <c r="A10" s="115" t="s">
        <v>10</v>
      </c>
      <c r="B10" s="38">
        <v>60</v>
      </c>
      <c r="C10" s="45">
        <v>3.35</v>
      </c>
      <c r="D10" s="45">
        <v>4.92</v>
      </c>
      <c r="E10" s="115"/>
      <c r="F10" s="38">
        <v>3</v>
      </c>
      <c r="G10" s="45">
        <v>0.39</v>
      </c>
      <c r="H10" s="45">
        <v>0.71</v>
      </c>
    </row>
    <row r="11" spans="1:8" x14ac:dyDescent="0.25">
      <c r="A11" s="115"/>
      <c r="B11" s="38">
        <v>61</v>
      </c>
      <c r="C11" s="39">
        <v>3.6</v>
      </c>
      <c r="D11" s="45">
        <v>7.63</v>
      </c>
      <c r="E11" s="115"/>
      <c r="F11" s="38">
        <v>4</v>
      </c>
      <c r="G11" s="45">
        <v>1.21</v>
      </c>
      <c r="H11" s="45">
        <v>3.95</v>
      </c>
    </row>
    <row r="12" spans="1:8" x14ac:dyDescent="0.25">
      <c r="A12" s="115"/>
      <c r="B12" s="38">
        <v>62</v>
      </c>
      <c r="C12" s="45">
        <v>3.64</v>
      </c>
      <c r="D12" s="45">
        <v>8.19</v>
      </c>
      <c r="E12" s="120" t="s">
        <v>35</v>
      </c>
      <c r="F12" s="121"/>
      <c r="G12" s="121"/>
      <c r="H12" s="122"/>
    </row>
    <row r="13" spans="1:8" x14ac:dyDescent="0.25">
      <c r="A13" s="115" t="s">
        <v>12</v>
      </c>
      <c r="B13" s="38">
        <v>57</v>
      </c>
      <c r="C13" s="39">
        <v>0.9</v>
      </c>
      <c r="D13" s="45">
        <v>2.75</v>
      </c>
      <c r="E13" s="115" t="s">
        <v>9</v>
      </c>
      <c r="F13" s="38">
        <v>1</v>
      </c>
      <c r="G13" s="45">
        <v>0.97</v>
      </c>
      <c r="H13" s="39">
        <v>2.9</v>
      </c>
    </row>
    <row r="14" spans="1:8" x14ac:dyDescent="0.25">
      <c r="A14" s="115"/>
      <c r="B14" s="38">
        <v>58</v>
      </c>
      <c r="C14" s="45">
        <v>0.98</v>
      </c>
      <c r="D14" s="45">
        <v>2.58</v>
      </c>
      <c r="E14" s="115"/>
      <c r="F14" s="38">
        <v>2</v>
      </c>
      <c r="G14" s="45">
        <v>1.33</v>
      </c>
      <c r="H14" s="45">
        <v>3.93</v>
      </c>
    </row>
    <row r="15" spans="1:8" x14ac:dyDescent="0.25">
      <c r="A15" s="115"/>
      <c r="B15" s="38">
        <v>59</v>
      </c>
      <c r="C15" s="39">
        <v>0.7</v>
      </c>
      <c r="D15" s="39">
        <v>1.6</v>
      </c>
      <c r="E15" s="115"/>
      <c r="F15" s="38">
        <v>3</v>
      </c>
      <c r="G15" s="45">
        <v>0.78</v>
      </c>
      <c r="H15" s="45">
        <v>2.09</v>
      </c>
    </row>
    <row r="16" spans="1:8" x14ac:dyDescent="0.25">
      <c r="A16" s="46" t="s">
        <v>8</v>
      </c>
      <c r="B16" s="38">
        <v>2</v>
      </c>
      <c r="C16" s="45">
        <v>0.99</v>
      </c>
      <c r="D16" s="39">
        <v>3.04</v>
      </c>
      <c r="E16" s="46" t="s">
        <v>8</v>
      </c>
      <c r="F16" s="38">
        <v>3</v>
      </c>
      <c r="G16" s="45">
        <v>1.07</v>
      </c>
      <c r="H16" s="45">
        <v>2.23</v>
      </c>
    </row>
    <row r="17" spans="1:8" x14ac:dyDescent="0.25">
      <c r="A17" s="43"/>
      <c r="B17" s="41"/>
      <c r="C17" s="40"/>
      <c r="D17" s="40"/>
      <c r="E17" s="43"/>
      <c r="F17" s="41"/>
      <c r="G17" s="40"/>
      <c r="H17" s="40"/>
    </row>
    <row r="18" spans="1:8" x14ac:dyDescent="0.25">
      <c r="A18" s="44"/>
      <c r="B18" s="41"/>
      <c r="C18" s="40"/>
      <c r="D18" s="40"/>
      <c r="E18" s="47"/>
      <c r="F18" s="47"/>
      <c r="G18" s="47"/>
      <c r="H18" s="47"/>
    </row>
    <row r="19" spans="1:8" x14ac:dyDescent="0.25">
      <c r="A19" s="43"/>
      <c r="B19" s="41"/>
      <c r="C19" s="40"/>
      <c r="D19" s="40"/>
      <c r="E19" s="47"/>
      <c r="F19" s="47"/>
      <c r="G19" s="47"/>
      <c r="H19" s="47"/>
    </row>
    <row r="20" spans="1:8" x14ac:dyDescent="0.25">
      <c r="A20" s="44"/>
      <c r="B20" s="41"/>
      <c r="C20" s="40"/>
      <c r="D20" s="40"/>
      <c r="E20" s="47"/>
      <c r="F20" s="47"/>
      <c r="G20" s="47"/>
      <c r="H20" s="47"/>
    </row>
    <row r="21" spans="1:8" x14ac:dyDescent="0.25">
      <c r="A21" s="43"/>
      <c r="B21" s="41"/>
      <c r="C21" s="40"/>
      <c r="D21" s="40"/>
      <c r="E21" s="47"/>
      <c r="F21" s="47"/>
      <c r="G21" s="47"/>
      <c r="H21" s="47"/>
    </row>
    <row r="22" spans="1:8" x14ac:dyDescent="0.25">
      <c r="A22" s="43"/>
      <c r="B22" s="41"/>
      <c r="C22" s="40"/>
      <c r="D22" s="40"/>
      <c r="E22" s="125"/>
      <c r="F22" s="126"/>
      <c r="G22" s="126"/>
      <c r="H22" s="126"/>
    </row>
    <row r="23" spans="1:8" x14ac:dyDescent="0.25">
      <c r="A23" s="43"/>
      <c r="B23" s="41"/>
      <c r="C23" s="40"/>
      <c r="D23" s="40"/>
      <c r="E23" s="118"/>
      <c r="F23" s="41"/>
      <c r="G23" s="40"/>
      <c r="H23" s="40"/>
    </row>
    <row r="24" spans="1:8" x14ac:dyDescent="0.25">
      <c r="A24" s="43"/>
      <c r="B24" s="41"/>
      <c r="C24" s="40"/>
      <c r="D24" s="40"/>
      <c r="E24" s="118"/>
      <c r="F24" s="41"/>
      <c r="G24" s="42"/>
      <c r="H24" s="40"/>
    </row>
    <row r="25" spans="1:8" x14ac:dyDescent="0.25">
      <c r="A25" s="47"/>
      <c r="B25" s="47"/>
      <c r="C25" s="47"/>
      <c r="D25" s="47"/>
      <c r="E25" s="118"/>
      <c r="F25" s="41"/>
      <c r="G25" s="40"/>
      <c r="H25" s="40"/>
    </row>
    <row r="26" spans="1:8" x14ac:dyDescent="0.25">
      <c r="A26" s="47"/>
      <c r="B26" s="47"/>
      <c r="C26" s="47"/>
      <c r="D26" s="47"/>
      <c r="E26" s="118"/>
      <c r="F26" s="41"/>
      <c r="G26" s="42"/>
      <c r="H26" s="40"/>
    </row>
    <row r="27" spans="1:8" x14ac:dyDescent="0.25">
      <c r="A27" s="47"/>
      <c r="B27" s="47"/>
      <c r="C27" s="47"/>
      <c r="D27" s="47"/>
      <c r="E27" s="118"/>
      <c r="F27" s="41"/>
      <c r="G27" s="40"/>
      <c r="H27" s="40"/>
    </row>
    <row r="28" spans="1:8" x14ac:dyDescent="0.25">
      <c r="A28" s="47"/>
      <c r="B28" s="47"/>
      <c r="C28" s="47"/>
      <c r="D28" s="47"/>
      <c r="E28" s="118"/>
      <c r="F28" s="41"/>
      <c r="G28" s="42"/>
      <c r="H28" s="42"/>
    </row>
    <row r="29" spans="1:8" x14ac:dyDescent="0.25">
      <c r="A29" s="47"/>
      <c r="B29" s="47"/>
      <c r="C29" s="47"/>
      <c r="D29" s="47"/>
      <c r="E29" s="118"/>
      <c r="F29" s="41"/>
      <c r="G29" s="40"/>
      <c r="H29" s="42"/>
    </row>
    <row r="30" spans="1:8" x14ac:dyDescent="0.25">
      <c r="A30" s="47"/>
      <c r="B30" s="47"/>
      <c r="C30" s="47"/>
      <c r="D30" s="47"/>
      <c r="E30" s="118"/>
      <c r="F30" s="41"/>
      <c r="G30" s="40"/>
      <c r="H30" s="40"/>
    </row>
    <row r="31" spans="1:8" x14ac:dyDescent="0.25">
      <c r="A31" s="47"/>
      <c r="B31" s="47"/>
      <c r="C31" s="47"/>
      <c r="D31" s="47"/>
      <c r="E31" s="118"/>
      <c r="F31" s="41"/>
      <c r="G31" s="40"/>
      <c r="H31" s="40"/>
    </row>
    <row r="32" spans="1:8" x14ac:dyDescent="0.25">
      <c r="A32" s="47"/>
      <c r="B32" s="47"/>
      <c r="C32" s="47"/>
      <c r="D32" s="47"/>
      <c r="E32" s="118"/>
      <c r="F32" s="41"/>
      <c r="G32" s="40"/>
      <c r="H32" s="42"/>
    </row>
    <row r="33" spans="1:8" x14ac:dyDescent="0.25">
      <c r="A33" s="47"/>
      <c r="B33" s="47"/>
      <c r="C33" s="47"/>
      <c r="D33" s="47"/>
      <c r="E33" s="119"/>
      <c r="F33" s="41"/>
      <c r="G33" s="40"/>
      <c r="H33" s="40"/>
    </row>
    <row r="34" spans="1:8" x14ac:dyDescent="0.25">
      <c r="A34" s="47"/>
      <c r="B34" s="47"/>
      <c r="C34" s="47"/>
      <c r="D34" s="47"/>
      <c r="E34" s="47"/>
      <c r="F34" s="47"/>
      <c r="G34" s="47"/>
      <c r="H34" s="47"/>
    </row>
  </sheetData>
  <mergeCells count="23">
    <mergeCell ref="E29:E31"/>
    <mergeCell ref="E32:E33"/>
    <mergeCell ref="E4:E5"/>
    <mergeCell ref="A9:D9"/>
    <mergeCell ref="E3:H3"/>
    <mergeCell ref="E6:E7"/>
    <mergeCell ref="E8:E11"/>
    <mergeCell ref="A3:D3"/>
    <mergeCell ref="A4:A5"/>
    <mergeCell ref="A6:A8"/>
    <mergeCell ref="E12:H12"/>
    <mergeCell ref="E13:E15"/>
    <mergeCell ref="E22:H22"/>
    <mergeCell ref="E23:E25"/>
    <mergeCell ref="E26:E28"/>
    <mergeCell ref="E1:E2"/>
    <mergeCell ref="F1:F2"/>
    <mergeCell ref="G1:H1"/>
    <mergeCell ref="A10:A12"/>
    <mergeCell ref="A13:A15"/>
    <mergeCell ref="A1:A2"/>
    <mergeCell ref="B1:B2"/>
    <mergeCell ref="C1:D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"/>
  <sheetViews>
    <sheetView tabSelected="1" workbookViewId="0">
      <pane xSplit="1" ySplit="3" topLeftCell="O28" activePane="bottomRight" state="frozen"/>
      <selection pane="topRight" activeCell="B1" sqref="B1"/>
      <selection pane="bottomLeft" activeCell="A3" sqref="A3"/>
      <selection pane="bottomRight" activeCell="W81" sqref="W81"/>
    </sheetView>
  </sheetViews>
  <sheetFormatPr defaultRowHeight="15" x14ac:dyDescent="0.25"/>
  <cols>
    <col min="1" max="1" width="10.5703125" customWidth="1"/>
    <col min="2" max="2" width="13.28515625" customWidth="1"/>
    <col min="3" max="3" width="12.28515625" customWidth="1"/>
    <col min="4" max="4" width="11.85546875" customWidth="1"/>
    <col min="5" max="6" width="12.28515625" customWidth="1"/>
    <col min="7" max="7" width="11.7109375" customWidth="1"/>
    <col min="8" max="8" width="12" customWidth="1"/>
    <col min="9" max="9" width="12.5703125" customWidth="1"/>
    <col min="10" max="11" width="12.42578125" customWidth="1"/>
    <col min="12" max="12" width="11.7109375" customWidth="1"/>
    <col min="13" max="13" width="12.85546875" customWidth="1"/>
    <col min="14" max="14" width="12.140625" customWidth="1"/>
    <col min="15" max="15" width="11.28515625" customWidth="1"/>
    <col min="16" max="16" width="10.7109375" customWidth="1"/>
    <col min="17" max="17" width="11.5703125" customWidth="1"/>
    <col min="18" max="18" width="11.140625" customWidth="1"/>
    <col min="19" max="19" width="12" customWidth="1"/>
    <col min="20" max="20" width="11" customWidth="1"/>
    <col min="21" max="21" width="11.42578125" customWidth="1"/>
    <col min="22" max="22" width="10.85546875" customWidth="1"/>
    <col min="23" max="24" width="11.85546875" customWidth="1"/>
    <col min="25" max="26" width="12.7109375" customWidth="1"/>
    <col min="27" max="27" width="11.42578125" customWidth="1"/>
    <col min="28" max="28" width="13" customWidth="1"/>
    <col min="29" max="29" width="11" customWidth="1"/>
  </cols>
  <sheetData>
    <row r="1" spans="1:29" x14ac:dyDescent="0.25">
      <c r="B1" s="3" t="s">
        <v>44</v>
      </c>
    </row>
    <row r="2" spans="1:29" x14ac:dyDescent="0.25">
      <c r="A2" s="3"/>
      <c r="B2" s="3" t="s">
        <v>10</v>
      </c>
      <c r="C2" s="3"/>
      <c r="D2" s="69"/>
      <c r="E2" s="3" t="s">
        <v>19</v>
      </c>
      <c r="F2" s="3"/>
      <c r="G2" s="69"/>
      <c r="H2" s="3" t="s">
        <v>11</v>
      </c>
      <c r="I2" s="3"/>
      <c r="J2" s="69"/>
      <c r="K2" s="3" t="s">
        <v>12</v>
      </c>
      <c r="L2" s="3"/>
      <c r="M2" s="69"/>
      <c r="N2" s="3" t="s">
        <v>0</v>
      </c>
      <c r="Q2" s="68"/>
      <c r="R2" s="3" t="s">
        <v>9</v>
      </c>
      <c r="T2" s="68"/>
      <c r="U2" s="3" t="s">
        <v>8</v>
      </c>
      <c r="W2" s="68"/>
      <c r="X2" s="3" t="s">
        <v>18</v>
      </c>
      <c r="Z2" s="68"/>
      <c r="AA2" s="3" t="s">
        <v>16</v>
      </c>
      <c r="AB2" s="3"/>
      <c r="AC2" s="69"/>
    </row>
    <row r="3" spans="1:29" x14ac:dyDescent="0.25">
      <c r="B3" s="3" t="s">
        <v>5</v>
      </c>
      <c r="C3" s="3" t="s">
        <v>6</v>
      </c>
      <c r="D3" s="69" t="s">
        <v>7</v>
      </c>
      <c r="E3" s="3" t="s">
        <v>20</v>
      </c>
      <c r="F3" s="3" t="s">
        <v>21</v>
      </c>
      <c r="G3" s="69" t="s">
        <v>22</v>
      </c>
      <c r="H3" s="3" t="s">
        <v>28</v>
      </c>
      <c r="I3" s="3" t="s">
        <v>37</v>
      </c>
      <c r="J3" s="69" t="s">
        <v>29</v>
      </c>
      <c r="K3" s="3" t="s">
        <v>13</v>
      </c>
      <c r="L3" s="3" t="s">
        <v>14</v>
      </c>
      <c r="M3" s="69" t="s">
        <v>15</v>
      </c>
      <c r="N3" s="3" t="s">
        <v>1</v>
      </c>
      <c r="O3" s="3" t="s">
        <v>2</v>
      </c>
      <c r="P3" s="3" t="s">
        <v>3</v>
      </c>
      <c r="Q3" s="69" t="s">
        <v>4</v>
      </c>
      <c r="R3" s="3" t="s">
        <v>1</v>
      </c>
      <c r="S3" s="3" t="s">
        <v>2</v>
      </c>
      <c r="T3" s="69" t="s">
        <v>3</v>
      </c>
      <c r="U3" s="3" t="s">
        <v>1</v>
      </c>
      <c r="V3" s="3" t="s">
        <v>2</v>
      </c>
      <c r="W3" s="69" t="s">
        <v>3</v>
      </c>
      <c r="X3" s="3" t="s">
        <v>1</v>
      </c>
      <c r="Y3" s="3" t="s">
        <v>2</v>
      </c>
      <c r="Z3" s="69" t="s">
        <v>3</v>
      </c>
      <c r="AA3" s="3" t="s">
        <v>4</v>
      </c>
      <c r="AB3" s="3" t="s">
        <v>17</v>
      </c>
      <c r="AC3" s="69" t="s">
        <v>36</v>
      </c>
    </row>
    <row r="4" spans="1:29" x14ac:dyDescent="0.25">
      <c r="A4" s="3">
        <v>1958</v>
      </c>
      <c r="B4" s="90"/>
      <c r="C4" s="90"/>
      <c r="D4" s="91"/>
      <c r="E4" s="90"/>
      <c r="F4" s="90"/>
      <c r="G4" s="91"/>
      <c r="H4" s="90"/>
      <c r="I4" s="90"/>
      <c r="J4" s="91"/>
      <c r="K4" s="90"/>
      <c r="L4" s="90"/>
      <c r="M4" s="91"/>
      <c r="N4" s="3"/>
      <c r="O4" s="3"/>
      <c r="P4" s="3"/>
      <c r="Q4" s="69"/>
      <c r="T4" s="68"/>
      <c r="W4" s="68"/>
      <c r="Z4" s="68"/>
      <c r="AA4" s="3"/>
      <c r="AB4" s="3"/>
      <c r="AC4" s="69"/>
    </row>
    <row r="5" spans="1:29" x14ac:dyDescent="0.25">
      <c r="A5" s="3">
        <v>1959</v>
      </c>
      <c r="B5" s="90"/>
      <c r="C5" s="90"/>
      <c r="D5" s="91"/>
      <c r="E5" s="90"/>
      <c r="F5" s="90"/>
      <c r="G5" s="91"/>
      <c r="H5" s="90"/>
      <c r="I5" s="90"/>
      <c r="J5" s="91"/>
      <c r="K5" s="90"/>
      <c r="L5" s="90"/>
      <c r="M5" s="91"/>
      <c r="O5" s="47"/>
      <c r="Q5" s="68"/>
      <c r="R5" s="47"/>
      <c r="T5" s="68"/>
      <c r="U5" s="47"/>
      <c r="V5" s="3"/>
      <c r="W5" s="69"/>
      <c r="X5" s="88"/>
      <c r="Z5" s="68"/>
      <c r="AC5" s="68"/>
    </row>
    <row r="6" spans="1:29" x14ac:dyDescent="0.25">
      <c r="A6" s="3">
        <v>1960</v>
      </c>
      <c r="B6" s="92">
        <v>9.3225498007968159</v>
      </c>
      <c r="C6" s="92">
        <v>10.178007968127488</v>
      </c>
      <c r="D6" s="93">
        <v>12.20000000000001</v>
      </c>
      <c r="E6" s="90"/>
      <c r="F6" s="90"/>
      <c r="G6" s="91"/>
      <c r="H6" s="92">
        <v>4.072052980132467</v>
      </c>
      <c r="I6" s="92">
        <v>3.9266225165562751</v>
      </c>
      <c r="J6" s="93">
        <v>6.0111258278145856</v>
      </c>
      <c r="K6" s="92">
        <v>2.2844621513944303</v>
      </c>
      <c r="L6" s="92">
        <v>3.402390438247012</v>
      </c>
      <c r="M6" s="93">
        <v>3.7426294820716937</v>
      </c>
      <c r="O6" s="47"/>
      <c r="Q6" s="68"/>
      <c r="R6" s="47"/>
      <c r="T6" s="68"/>
      <c r="U6" s="47"/>
      <c r="V6" s="3"/>
      <c r="W6" s="69"/>
      <c r="X6" s="88"/>
      <c r="Z6" s="68"/>
      <c r="AC6" s="68"/>
    </row>
    <row r="7" spans="1:29" x14ac:dyDescent="0.25">
      <c r="A7" s="3">
        <v>1961</v>
      </c>
      <c r="B7" s="90"/>
      <c r="C7" s="90"/>
      <c r="D7" s="91"/>
      <c r="E7" s="90"/>
      <c r="F7" s="90"/>
      <c r="G7" s="91"/>
      <c r="H7" s="90"/>
      <c r="I7" s="90"/>
      <c r="J7" s="91"/>
      <c r="K7" s="90"/>
      <c r="L7" s="90"/>
      <c r="M7" s="91"/>
      <c r="O7" s="47"/>
      <c r="Q7" s="68"/>
      <c r="R7" s="47"/>
      <c r="T7" s="68"/>
      <c r="U7" s="47"/>
      <c r="V7" s="3"/>
      <c r="W7" s="69"/>
      <c r="X7" s="88"/>
      <c r="Z7" s="68"/>
      <c r="AC7" s="68"/>
    </row>
    <row r="8" spans="1:29" x14ac:dyDescent="0.25">
      <c r="A8" s="3">
        <v>1962</v>
      </c>
      <c r="B8" s="90"/>
      <c r="C8" s="90"/>
      <c r="D8" s="91"/>
      <c r="E8" s="90"/>
      <c r="F8" s="90"/>
      <c r="G8" s="91"/>
      <c r="H8" s="90"/>
      <c r="I8" s="90"/>
      <c r="J8" s="91"/>
      <c r="K8" s="90"/>
      <c r="L8" s="90"/>
      <c r="M8" s="91"/>
      <c r="O8" s="47"/>
      <c r="Q8" s="68"/>
      <c r="R8" s="47"/>
      <c r="T8" s="68"/>
      <c r="U8" s="47"/>
      <c r="V8" s="3"/>
      <c r="W8" s="69"/>
      <c r="X8" s="88"/>
      <c r="Z8" s="68"/>
      <c r="AC8" s="68"/>
    </row>
    <row r="9" spans="1:29" x14ac:dyDescent="0.25">
      <c r="A9" s="3">
        <v>1963</v>
      </c>
      <c r="B9" s="90"/>
      <c r="C9" s="90"/>
      <c r="D9" s="91"/>
      <c r="E9" s="90"/>
      <c r="F9" s="90"/>
      <c r="G9" s="91"/>
      <c r="H9" s="90"/>
      <c r="I9" s="90"/>
      <c r="J9" s="91"/>
      <c r="K9" s="90"/>
      <c r="L9" s="90"/>
      <c r="M9" s="91"/>
      <c r="O9" s="47"/>
      <c r="Q9" s="68"/>
      <c r="R9" s="47"/>
      <c r="T9" s="68"/>
      <c r="U9" s="47"/>
      <c r="V9" s="3"/>
      <c r="W9" s="69"/>
      <c r="X9" s="88"/>
      <c r="Z9" s="68"/>
      <c r="AC9" s="68"/>
    </row>
    <row r="10" spans="1:29" x14ac:dyDescent="0.25">
      <c r="A10" s="3">
        <v>1964</v>
      </c>
      <c r="B10" s="90"/>
      <c r="C10" s="90"/>
      <c r="D10" s="91"/>
      <c r="E10" s="90"/>
      <c r="F10" s="90"/>
      <c r="G10" s="91"/>
      <c r="H10" s="90"/>
      <c r="I10" s="90"/>
      <c r="J10" s="91"/>
      <c r="K10" s="90"/>
      <c r="L10" s="90"/>
      <c r="M10" s="91"/>
      <c r="O10" s="47"/>
      <c r="Q10" s="68"/>
      <c r="R10" s="47"/>
      <c r="T10" s="68"/>
      <c r="U10" s="47"/>
      <c r="V10" s="3"/>
      <c r="W10" s="69"/>
      <c r="X10" s="88"/>
      <c r="Z10" s="68"/>
      <c r="AC10" s="68"/>
    </row>
    <row r="11" spans="1:29" x14ac:dyDescent="0.25">
      <c r="A11" s="3">
        <v>1965</v>
      </c>
      <c r="B11" s="92">
        <v>6.591791044776115</v>
      </c>
      <c r="C11" s="92">
        <v>5.014035591274399</v>
      </c>
      <c r="D11" s="93">
        <v>7.7840126291618779</v>
      </c>
      <c r="E11" s="92">
        <v>7.3671650373777959</v>
      </c>
      <c r="F11" s="92">
        <v>9.6339850488786727</v>
      </c>
      <c r="G11" s="93">
        <v>10.284646348476135</v>
      </c>
      <c r="H11" s="92">
        <v>5.8349626221966613</v>
      </c>
      <c r="I11" s="92">
        <v>5.3102357676825784</v>
      </c>
      <c r="J11" s="93">
        <v>5.1003450258769432</v>
      </c>
      <c r="K11" s="92">
        <v>5.2622056289488786</v>
      </c>
      <c r="L11" s="92">
        <v>4.2349224583572633</v>
      </c>
      <c r="M11" s="93">
        <v>4.0462377943710539</v>
      </c>
      <c r="O11" s="47"/>
      <c r="Q11" s="68"/>
      <c r="R11" s="47"/>
      <c r="T11" s="68"/>
      <c r="U11" s="47"/>
      <c r="V11" s="3"/>
      <c r="W11" s="69"/>
      <c r="X11" s="88"/>
      <c r="Z11" s="68"/>
      <c r="AC11" s="68"/>
    </row>
    <row r="12" spans="1:29" x14ac:dyDescent="0.25">
      <c r="A12" s="3">
        <v>1966</v>
      </c>
      <c r="B12" s="90"/>
      <c r="C12" s="90"/>
      <c r="D12" s="91"/>
      <c r="E12" s="90"/>
      <c r="F12" s="90"/>
      <c r="G12" s="91"/>
      <c r="H12" s="90"/>
      <c r="I12" s="90"/>
      <c r="J12" s="91"/>
      <c r="K12" s="90"/>
      <c r="L12" s="90"/>
      <c r="M12" s="91"/>
      <c r="O12" s="47"/>
      <c r="Q12" s="68"/>
      <c r="R12" s="47"/>
      <c r="T12" s="68"/>
      <c r="U12" s="47"/>
      <c r="V12" s="3"/>
      <c r="W12" s="69"/>
      <c r="X12" s="88"/>
      <c r="Z12" s="68"/>
      <c r="AC12" s="68"/>
    </row>
    <row r="13" spans="1:29" x14ac:dyDescent="0.25">
      <c r="A13" s="3">
        <v>1967</v>
      </c>
      <c r="B13" s="90"/>
      <c r="C13" s="90"/>
      <c r="D13" s="91"/>
      <c r="E13" s="90"/>
      <c r="F13" s="90"/>
      <c r="G13" s="91"/>
      <c r="H13" s="90"/>
      <c r="I13" s="90"/>
      <c r="J13" s="91"/>
      <c r="K13" s="90"/>
      <c r="L13" s="90"/>
      <c r="M13" s="91"/>
      <c r="O13" s="47"/>
      <c r="Q13" s="68"/>
      <c r="R13" s="47"/>
      <c r="T13" s="68"/>
      <c r="U13" s="47"/>
      <c r="V13" s="88"/>
      <c r="W13" s="69"/>
      <c r="X13" s="88"/>
      <c r="Z13" s="68"/>
      <c r="AC13" s="68"/>
    </row>
    <row r="14" spans="1:29" x14ac:dyDescent="0.25">
      <c r="A14" s="3">
        <v>1968</v>
      </c>
      <c r="B14" s="90"/>
      <c r="C14" s="90"/>
      <c r="D14" s="91"/>
      <c r="E14" s="90"/>
      <c r="F14" s="90"/>
      <c r="G14" s="91"/>
      <c r="H14" s="90"/>
      <c r="I14" s="90"/>
      <c r="J14" s="91"/>
      <c r="K14" s="90"/>
      <c r="L14" s="90"/>
      <c r="M14" s="91"/>
      <c r="O14" s="47"/>
      <c r="Q14" s="68"/>
      <c r="R14" s="47"/>
      <c r="T14" s="68"/>
      <c r="U14" s="47"/>
      <c r="V14" s="88"/>
      <c r="W14" s="69"/>
      <c r="X14" s="88"/>
      <c r="Z14" s="68"/>
      <c r="AC14" s="68"/>
    </row>
    <row r="15" spans="1:29" x14ac:dyDescent="0.25">
      <c r="A15" s="3">
        <v>1969</v>
      </c>
      <c r="B15" s="90"/>
      <c r="C15" s="90"/>
      <c r="D15" s="91"/>
      <c r="E15" s="90"/>
      <c r="F15" s="90"/>
      <c r="G15" s="91"/>
      <c r="H15" s="90"/>
      <c r="I15" s="90"/>
      <c r="J15" s="91"/>
      <c r="K15" s="90"/>
      <c r="L15" s="90"/>
      <c r="M15" s="91"/>
      <c r="O15" s="47"/>
      <c r="Q15" s="68"/>
      <c r="R15" s="47"/>
      <c r="T15" s="68"/>
      <c r="U15" s="47"/>
      <c r="V15" s="88"/>
      <c r="W15" s="69"/>
      <c r="X15" s="88"/>
      <c r="Z15" s="68"/>
      <c r="AC15" s="68"/>
    </row>
    <row r="16" spans="1:29" x14ac:dyDescent="0.25">
      <c r="A16" s="3">
        <v>1970</v>
      </c>
      <c r="B16" s="92">
        <v>3.3399613899613962</v>
      </c>
      <c r="C16" s="92">
        <v>4.113044677330393</v>
      </c>
      <c r="D16" s="93">
        <v>4.6988968560397195</v>
      </c>
      <c r="E16" s="92">
        <v>5.5953296703296775</v>
      </c>
      <c r="F16" s="94"/>
      <c r="G16" s="93">
        <v>5.8159340659340657</v>
      </c>
      <c r="H16" s="92">
        <v>5.1912899669239216</v>
      </c>
      <c r="I16" s="92">
        <v>5.3120176405733197</v>
      </c>
      <c r="J16" s="93">
        <v>4.8492282249173027</v>
      </c>
      <c r="K16" s="92">
        <v>3.4729327453142234</v>
      </c>
      <c r="L16" s="92">
        <v>3.5433572216097051</v>
      </c>
      <c r="M16" s="93">
        <v>4.0584619625137792</v>
      </c>
      <c r="O16" s="47"/>
      <c r="Q16" s="68"/>
      <c r="R16" s="47"/>
      <c r="T16" s="68"/>
      <c r="U16" s="47"/>
      <c r="V16" s="88"/>
      <c r="W16" s="69"/>
      <c r="X16" s="88"/>
      <c r="Z16" s="68"/>
      <c r="AC16" s="68"/>
    </row>
    <row r="17" spans="1:29" x14ac:dyDescent="0.25">
      <c r="A17" s="3">
        <v>1971</v>
      </c>
      <c r="B17" s="90"/>
      <c r="C17" s="90"/>
      <c r="D17" s="91"/>
      <c r="E17" s="90"/>
      <c r="F17" s="90"/>
      <c r="G17" s="91"/>
      <c r="H17" s="90"/>
      <c r="I17" s="90"/>
      <c r="J17" s="91"/>
      <c r="K17" s="90"/>
      <c r="L17" s="90"/>
      <c r="M17" s="91"/>
      <c r="O17" s="47"/>
      <c r="Q17" s="68"/>
      <c r="R17" s="47"/>
      <c r="T17" s="68"/>
      <c r="U17" s="47"/>
      <c r="V17" s="88"/>
      <c r="W17" s="69"/>
      <c r="X17" s="88"/>
      <c r="Z17" s="68"/>
      <c r="AC17" s="68"/>
    </row>
    <row r="18" spans="1:29" x14ac:dyDescent="0.25">
      <c r="A18" s="3">
        <v>1972</v>
      </c>
      <c r="B18" s="90"/>
      <c r="C18" s="90"/>
      <c r="D18" s="91"/>
      <c r="E18" s="90"/>
      <c r="F18" s="90"/>
      <c r="G18" s="91"/>
      <c r="H18" s="90"/>
      <c r="I18" s="90"/>
      <c r="J18" s="91"/>
      <c r="K18" s="90"/>
      <c r="L18" s="90"/>
      <c r="M18" s="91"/>
      <c r="O18" s="47"/>
      <c r="Q18" s="68"/>
      <c r="R18" s="47"/>
      <c r="T18" s="68"/>
      <c r="U18" s="47"/>
      <c r="V18" s="88"/>
      <c r="W18" s="69"/>
      <c r="X18" s="88"/>
      <c r="Z18" s="68"/>
      <c r="AC18" s="68"/>
    </row>
    <row r="19" spans="1:29" x14ac:dyDescent="0.25">
      <c r="A19" s="3">
        <v>1973</v>
      </c>
      <c r="B19" s="90"/>
      <c r="C19" s="90"/>
      <c r="D19" s="91"/>
      <c r="E19" s="90"/>
      <c r="F19" s="90"/>
      <c r="G19" s="91"/>
      <c r="H19" s="90"/>
      <c r="I19" s="90"/>
      <c r="J19" s="91"/>
      <c r="K19" s="90"/>
      <c r="L19" s="90"/>
      <c r="M19" s="91"/>
      <c r="O19" s="47"/>
      <c r="Q19" s="68"/>
      <c r="R19" s="47"/>
      <c r="T19" s="68"/>
      <c r="U19" s="47"/>
      <c r="V19" s="88"/>
      <c r="W19" s="69"/>
      <c r="X19" s="88"/>
      <c r="Z19" s="68"/>
      <c r="AC19" s="68"/>
    </row>
    <row r="20" spans="1:29" x14ac:dyDescent="0.25">
      <c r="A20" s="3">
        <v>1974</v>
      </c>
      <c r="B20" s="92">
        <v>2.3238667582417536</v>
      </c>
      <c r="C20" s="92">
        <v>3.3692307692307759</v>
      </c>
      <c r="D20" s="93">
        <v>4.1628715261706324</v>
      </c>
      <c r="E20" s="92">
        <v>5.278615490061692</v>
      </c>
      <c r="F20" s="92">
        <v>3.7775873886223352</v>
      </c>
      <c r="G20" s="93">
        <v>7.0047978067169216</v>
      </c>
      <c r="H20" s="92">
        <v>5.7382091592617908</v>
      </c>
      <c r="I20" s="92">
        <v>4.6404647983595337</v>
      </c>
      <c r="J20" s="93">
        <v>4.7652084757347968</v>
      </c>
      <c r="K20" s="92">
        <v>1.6849999999999987</v>
      </c>
      <c r="L20" s="92">
        <v>2.0474999999999994</v>
      </c>
      <c r="M20" s="93">
        <v>2.7075000000000031</v>
      </c>
      <c r="O20" s="47"/>
      <c r="Q20" s="68"/>
      <c r="R20" s="47"/>
      <c r="T20" s="68"/>
      <c r="U20" s="47"/>
      <c r="V20" s="88"/>
      <c r="W20" s="69"/>
      <c r="X20" s="88"/>
      <c r="Z20" s="68"/>
      <c r="AC20" s="68"/>
    </row>
    <row r="21" spans="1:29" x14ac:dyDescent="0.25">
      <c r="A21" s="3">
        <v>1975</v>
      </c>
      <c r="B21" s="90"/>
      <c r="C21" s="90"/>
      <c r="D21" s="91"/>
      <c r="E21" s="90"/>
      <c r="F21" s="90"/>
      <c r="G21" s="91"/>
      <c r="H21" s="90"/>
      <c r="I21" s="90"/>
      <c r="J21" s="91"/>
      <c r="K21" s="90"/>
      <c r="L21" s="90"/>
      <c r="M21" s="91"/>
      <c r="O21" s="47"/>
      <c r="Q21" s="68"/>
      <c r="R21" s="47"/>
      <c r="T21" s="68"/>
      <c r="U21" s="47"/>
      <c r="V21" s="88"/>
      <c r="W21" s="69"/>
      <c r="X21" s="88"/>
      <c r="Z21" s="68"/>
      <c r="AC21" s="68"/>
    </row>
    <row r="22" spans="1:29" x14ac:dyDescent="0.25">
      <c r="A22" s="3">
        <v>1976</v>
      </c>
      <c r="B22" s="90"/>
      <c r="C22" s="90"/>
      <c r="D22" s="91"/>
      <c r="E22" s="90"/>
      <c r="F22" s="90"/>
      <c r="G22" s="91"/>
      <c r="H22" s="90"/>
      <c r="I22" s="90"/>
      <c r="J22" s="91"/>
      <c r="K22" s="90"/>
      <c r="L22" s="90"/>
      <c r="M22" s="91"/>
      <c r="O22" s="47"/>
      <c r="Q22" s="68"/>
      <c r="R22" s="47"/>
      <c r="T22" s="68"/>
      <c r="U22" s="47"/>
      <c r="V22" s="88"/>
      <c r="W22" s="69"/>
      <c r="X22" s="88"/>
      <c r="Z22" s="68"/>
      <c r="AC22" s="68"/>
    </row>
    <row r="23" spans="1:29" x14ac:dyDescent="0.25">
      <c r="A23" s="3">
        <v>1977</v>
      </c>
      <c r="B23" s="90"/>
      <c r="C23" s="90"/>
      <c r="D23" s="91"/>
      <c r="E23" s="90"/>
      <c r="F23" s="90"/>
      <c r="G23" s="91"/>
      <c r="H23" s="90"/>
      <c r="I23" s="90"/>
      <c r="J23" s="91"/>
      <c r="K23" s="90"/>
      <c r="L23" s="90"/>
      <c r="M23" s="91"/>
      <c r="O23" s="47"/>
      <c r="Q23" s="68"/>
      <c r="R23" s="47"/>
      <c r="T23" s="68"/>
      <c r="U23" s="47"/>
      <c r="V23" s="88"/>
      <c r="W23" s="69"/>
      <c r="X23" s="88"/>
      <c r="Z23" s="68"/>
      <c r="AC23" s="68"/>
    </row>
    <row r="24" spans="1:29" x14ac:dyDescent="0.25">
      <c r="A24" s="3">
        <v>1978</v>
      </c>
      <c r="B24" s="90"/>
      <c r="C24" s="90"/>
      <c r="D24" s="91"/>
      <c r="E24" s="90"/>
      <c r="F24" s="90"/>
      <c r="G24" s="91"/>
      <c r="H24" s="90"/>
      <c r="I24" s="90"/>
      <c r="J24" s="91"/>
      <c r="K24" s="90"/>
      <c r="L24" s="90"/>
      <c r="M24" s="91"/>
      <c r="O24" s="47"/>
      <c r="Q24" s="68"/>
      <c r="R24" s="47"/>
      <c r="T24" s="68"/>
      <c r="U24" s="47"/>
      <c r="V24" s="88"/>
      <c r="W24" s="69"/>
      <c r="X24" s="88"/>
      <c r="Z24" s="68"/>
      <c r="AC24" s="68"/>
    </row>
    <row r="25" spans="1:29" x14ac:dyDescent="0.25">
      <c r="A25" s="3">
        <v>1979</v>
      </c>
      <c r="B25" s="90"/>
      <c r="C25" s="90"/>
      <c r="D25" s="91"/>
      <c r="E25" s="90"/>
      <c r="F25" s="90"/>
      <c r="G25" s="91"/>
      <c r="H25" s="90"/>
      <c r="I25" s="90"/>
      <c r="J25" s="91"/>
      <c r="K25" s="90"/>
      <c r="L25" s="90"/>
      <c r="M25" s="91"/>
      <c r="O25" s="47"/>
      <c r="Q25" s="68"/>
      <c r="R25" s="47"/>
      <c r="T25" s="68"/>
      <c r="U25" s="47"/>
      <c r="V25" s="88"/>
      <c r="W25" s="69"/>
      <c r="X25" s="88"/>
      <c r="Z25" s="68"/>
      <c r="AC25" s="68"/>
    </row>
    <row r="26" spans="1:29" x14ac:dyDescent="0.25">
      <c r="A26" s="3">
        <v>1980</v>
      </c>
      <c r="B26" s="94">
        <v>1.5950622584800351</v>
      </c>
      <c r="C26" s="94">
        <v>1.6107771575783598</v>
      </c>
      <c r="D26" s="93">
        <v>1.9885844535426145</v>
      </c>
      <c r="E26" s="92">
        <v>4.2646956521739057</v>
      </c>
      <c r="F26" s="92">
        <v>4.2344608695652148</v>
      </c>
      <c r="G26" s="93">
        <v>4.5193043478260879</v>
      </c>
      <c r="H26" s="92">
        <v>3.8928083080917371</v>
      </c>
      <c r="I26" s="92">
        <v>4.6720034617048896</v>
      </c>
      <c r="J26" s="93">
        <v>3.3939333621808752</v>
      </c>
      <c r="K26" s="94">
        <v>0.66087704213241427</v>
      </c>
      <c r="L26" s="92">
        <v>1.8095442820292325</v>
      </c>
      <c r="M26" s="93">
        <v>1.523164230438522</v>
      </c>
      <c r="O26" s="47"/>
      <c r="Q26" s="68"/>
      <c r="R26" s="47"/>
      <c r="T26" s="68"/>
      <c r="U26" s="47"/>
      <c r="V26" s="80"/>
      <c r="W26" s="72"/>
      <c r="X26" s="80"/>
      <c r="Z26" s="68"/>
      <c r="AA26" s="55">
        <v>0.23943925233644717</v>
      </c>
      <c r="AB26" s="55">
        <v>0.47545794392523266</v>
      </c>
      <c r="AC26" s="71">
        <v>1.1219439252336449</v>
      </c>
    </row>
    <row r="27" spans="1:29" x14ac:dyDescent="0.25">
      <c r="A27" s="3">
        <v>1981</v>
      </c>
      <c r="B27" s="90"/>
      <c r="C27" s="90"/>
      <c r="D27" s="91"/>
      <c r="E27" s="90"/>
      <c r="F27" s="90"/>
      <c r="G27" s="91"/>
      <c r="H27" s="90"/>
      <c r="I27" s="90"/>
      <c r="J27" s="91"/>
      <c r="K27" s="90"/>
      <c r="L27" s="90"/>
      <c r="M27" s="91"/>
      <c r="O27" s="47"/>
      <c r="Q27" s="68"/>
      <c r="R27" s="47"/>
      <c r="T27" s="68"/>
      <c r="U27" s="47"/>
      <c r="V27" s="89"/>
      <c r="W27" s="73"/>
      <c r="X27" s="89"/>
      <c r="Z27" s="68"/>
      <c r="AC27" s="68"/>
    </row>
    <row r="28" spans="1:29" x14ac:dyDescent="0.25">
      <c r="A28" s="3">
        <v>1982</v>
      </c>
      <c r="B28" s="90"/>
      <c r="C28" s="90"/>
      <c r="D28" s="91"/>
      <c r="E28" s="90"/>
      <c r="F28" s="90"/>
      <c r="G28" s="91"/>
      <c r="H28" s="90"/>
      <c r="I28" s="90"/>
      <c r="J28" s="91"/>
      <c r="K28" s="90"/>
      <c r="L28" s="90"/>
      <c r="M28" s="91"/>
      <c r="O28" s="47"/>
      <c r="Q28" s="68"/>
      <c r="R28" s="47"/>
      <c r="T28" s="68"/>
      <c r="U28" s="47"/>
      <c r="V28" s="89"/>
      <c r="W28" s="73"/>
      <c r="X28" s="89"/>
      <c r="Z28" s="68"/>
      <c r="AC28" s="68"/>
    </row>
    <row r="29" spans="1:29" x14ac:dyDescent="0.25">
      <c r="A29" s="3">
        <v>1983</v>
      </c>
      <c r="B29" s="90"/>
      <c r="C29" s="90"/>
      <c r="D29" s="91"/>
      <c r="E29" s="90"/>
      <c r="F29" s="90"/>
      <c r="G29" s="91"/>
      <c r="H29" s="90"/>
      <c r="I29" s="90"/>
      <c r="J29" s="91"/>
      <c r="K29" s="90"/>
      <c r="L29" s="90"/>
      <c r="M29" s="91"/>
      <c r="O29" s="47"/>
      <c r="Q29" s="68"/>
      <c r="R29" s="47"/>
      <c r="T29" s="68"/>
      <c r="U29" s="47"/>
      <c r="V29" s="89"/>
      <c r="W29" s="73"/>
      <c r="X29" s="89"/>
      <c r="Z29" s="68"/>
      <c r="AC29" s="68"/>
    </row>
    <row r="30" spans="1:29" x14ac:dyDescent="0.25">
      <c r="A30" s="3">
        <v>1984</v>
      </c>
      <c r="B30" s="90"/>
      <c r="C30" s="90"/>
      <c r="D30" s="91"/>
      <c r="E30" s="90"/>
      <c r="F30" s="90"/>
      <c r="G30" s="91"/>
      <c r="H30" s="90"/>
      <c r="I30" s="90"/>
      <c r="J30" s="91"/>
      <c r="K30" s="90"/>
      <c r="L30" s="90"/>
      <c r="M30" s="91"/>
      <c r="O30" s="47"/>
      <c r="Q30" s="68"/>
      <c r="R30" s="47"/>
      <c r="T30" s="68"/>
      <c r="U30" s="47"/>
      <c r="V30" s="89"/>
      <c r="W30" s="73"/>
      <c r="X30" s="89"/>
      <c r="Z30" s="68"/>
      <c r="AC30" s="68"/>
    </row>
    <row r="31" spans="1:29" x14ac:dyDescent="0.25">
      <c r="A31" s="3">
        <v>1985</v>
      </c>
      <c r="B31" s="90"/>
      <c r="C31" s="90"/>
      <c r="D31" s="91"/>
      <c r="E31" s="90"/>
      <c r="F31" s="90"/>
      <c r="G31" s="91"/>
      <c r="H31" s="90"/>
      <c r="I31" s="90"/>
      <c r="J31" s="91"/>
      <c r="K31" s="90"/>
      <c r="L31" s="90"/>
      <c r="M31" s="91"/>
      <c r="O31" s="47"/>
      <c r="Q31" s="75"/>
      <c r="R31" s="56"/>
      <c r="S31" s="56"/>
      <c r="T31" s="75"/>
      <c r="U31" s="56"/>
      <c r="V31" s="89"/>
      <c r="W31" s="73"/>
      <c r="X31" s="89"/>
      <c r="Z31" s="68"/>
      <c r="AC31" s="68"/>
    </row>
    <row r="32" spans="1:29" x14ac:dyDescent="0.25">
      <c r="A32" s="3">
        <v>1986</v>
      </c>
      <c r="B32" s="92">
        <v>2.4091014358499305</v>
      </c>
      <c r="C32" s="92">
        <v>2.5629458082445526</v>
      </c>
      <c r="D32" s="93">
        <v>3.7233947091596469</v>
      </c>
      <c r="E32" s="92">
        <v>4.7710237659963477</v>
      </c>
      <c r="F32" s="92">
        <v>4.7443327239488164</v>
      </c>
      <c r="G32" s="93">
        <v>4.4040219378427743</v>
      </c>
      <c r="H32" s="92">
        <v>3.5745521359669259</v>
      </c>
      <c r="I32" s="92">
        <v>3.7640101056499797</v>
      </c>
      <c r="J32" s="93">
        <v>4.0859209921910846</v>
      </c>
      <c r="K32" s="92">
        <v>1.4532407407407422</v>
      </c>
      <c r="L32" s="94">
        <v>0.87870370370370421</v>
      </c>
      <c r="M32" s="93">
        <v>1.2504629629629616</v>
      </c>
      <c r="Q32" s="68"/>
      <c r="T32" s="68"/>
      <c r="V32" s="56"/>
      <c r="W32" s="76"/>
      <c r="X32" s="57"/>
      <c r="Y32" s="57"/>
      <c r="Z32" s="76"/>
      <c r="AA32" s="55">
        <v>0.59700136301681195</v>
      </c>
      <c r="AB32" s="55">
        <v>0.41458427987278512</v>
      </c>
      <c r="AC32" s="72">
        <v>0.16417537482962291</v>
      </c>
    </row>
    <row r="33" spans="1:32" x14ac:dyDescent="0.25">
      <c r="A33" s="3">
        <v>1987</v>
      </c>
      <c r="B33" s="90"/>
      <c r="C33" s="90"/>
      <c r="D33" s="91"/>
      <c r="E33" s="90"/>
      <c r="F33" s="90"/>
      <c r="G33" s="91"/>
      <c r="H33" s="90"/>
      <c r="I33" s="90"/>
      <c r="J33" s="91"/>
      <c r="K33" s="90"/>
      <c r="L33" s="90"/>
      <c r="M33" s="91"/>
      <c r="N33" s="52"/>
      <c r="O33" s="52"/>
      <c r="P33" s="52"/>
      <c r="Q33" s="70"/>
      <c r="T33" s="68"/>
      <c r="V33" s="56"/>
      <c r="W33" s="75"/>
      <c r="X33" s="56"/>
      <c r="Y33" s="56"/>
      <c r="Z33" s="76"/>
      <c r="AA33" s="52"/>
      <c r="AB33" s="52"/>
      <c r="AC33" s="73"/>
      <c r="AD33" s="56"/>
      <c r="AE33" s="56"/>
      <c r="AF33" s="56"/>
    </row>
    <row r="34" spans="1:32" x14ac:dyDescent="0.25">
      <c r="A34" s="3">
        <v>1988</v>
      </c>
      <c r="B34" s="90"/>
      <c r="C34" s="90"/>
      <c r="D34" s="91"/>
      <c r="E34" s="90"/>
      <c r="F34" s="90"/>
      <c r="G34" s="91"/>
      <c r="H34" s="90"/>
      <c r="I34" s="90"/>
      <c r="J34" s="91"/>
      <c r="K34" s="90"/>
      <c r="L34" s="90"/>
      <c r="M34" s="91"/>
      <c r="N34" s="52"/>
      <c r="O34" s="52"/>
      <c r="P34" s="52"/>
      <c r="Q34" s="70"/>
      <c r="T34" s="68"/>
      <c r="V34" s="56"/>
      <c r="W34" s="75"/>
      <c r="X34" s="56"/>
      <c r="Y34" s="56"/>
      <c r="Z34" s="75"/>
      <c r="AA34" s="54">
        <v>1.6437125748502974</v>
      </c>
      <c r="AB34" s="55">
        <v>3.2874251497007234E-2</v>
      </c>
      <c r="AC34" s="72">
        <v>0.15341317365269461</v>
      </c>
      <c r="AD34" s="57"/>
      <c r="AE34" s="57"/>
      <c r="AF34" s="56"/>
    </row>
    <row r="35" spans="1:32" x14ac:dyDescent="0.25">
      <c r="A35" s="3">
        <v>1989</v>
      </c>
      <c r="B35" s="90"/>
      <c r="C35" s="90"/>
      <c r="D35" s="91"/>
      <c r="E35" s="90"/>
      <c r="F35" s="90"/>
      <c r="G35" s="91"/>
      <c r="H35" s="90"/>
      <c r="I35" s="90"/>
      <c r="J35" s="91"/>
      <c r="K35" s="94">
        <v>0.60378868729989221</v>
      </c>
      <c r="L35" s="92">
        <v>1.2270544290288175</v>
      </c>
      <c r="M35" s="97">
        <v>0.77908217716115258</v>
      </c>
      <c r="N35" s="53">
        <v>4.7341115434457589E-3</v>
      </c>
      <c r="O35" s="53">
        <v>8.0000000000001847E-2</v>
      </c>
      <c r="P35" s="53">
        <v>3.787289234760139E-2</v>
      </c>
      <c r="Q35" s="70"/>
      <c r="T35" s="68"/>
      <c r="V35" s="56"/>
      <c r="W35" s="77"/>
      <c r="X35" s="58"/>
      <c r="Y35" s="58"/>
      <c r="Z35" s="82"/>
      <c r="AA35" s="52"/>
      <c r="AB35" s="52"/>
      <c r="AC35" s="73"/>
      <c r="AD35" s="56"/>
      <c r="AE35" s="56"/>
      <c r="AF35" s="56"/>
    </row>
    <row r="36" spans="1:32" x14ac:dyDescent="0.25">
      <c r="A36" s="3">
        <v>1990</v>
      </c>
      <c r="B36" s="90"/>
      <c r="C36" s="90"/>
      <c r="D36" s="91"/>
      <c r="E36" s="90"/>
      <c r="F36" s="90"/>
      <c r="G36" s="91"/>
      <c r="H36" s="90"/>
      <c r="I36" s="90"/>
      <c r="J36" s="91"/>
      <c r="K36" s="90"/>
      <c r="L36" s="90"/>
      <c r="M36" s="91"/>
      <c r="N36" s="53"/>
      <c r="O36" s="53"/>
      <c r="P36" s="53"/>
      <c r="Q36" s="70"/>
      <c r="R36" s="55">
        <v>0.23692380056443949</v>
      </c>
      <c r="S36" s="55">
        <v>0.84125117591721155</v>
      </c>
      <c r="T36" s="71">
        <v>1.1880526810912491</v>
      </c>
      <c r="U36" s="14">
        <v>0.17331433998100665</v>
      </c>
      <c r="V36" s="54">
        <v>1.6742165242165237</v>
      </c>
      <c r="W36" s="71">
        <v>2.1802943969610658</v>
      </c>
      <c r="X36" s="55">
        <v>0.41625824693685481</v>
      </c>
      <c r="Y36" s="55">
        <v>7.5683317624881799E-2</v>
      </c>
      <c r="Z36" s="83">
        <v>8.6003770028275209E-2</v>
      </c>
      <c r="AA36" s="52"/>
      <c r="AB36" s="81">
        <v>0.58099250936329683</v>
      </c>
      <c r="AC36" s="71">
        <v>0.88857677902621723</v>
      </c>
      <c r="AD36" s="56"/>
      <c r="AE36" s="56"/>
      <c r="AF36" s="56"/>
    </row>
    <row r="37" spans="1:32" x14ac:dyDescent="0.25">
      <c r="A37" s="3">
        <v>1991</v>
      </c>
      <c r="B37" s="92">
        <v>3.6379537953795391</v>
      </c>
      <c r="C37" s="92">
        <v>3.9993399339934026</v>
      </c>
      <c r="D37" s="93">
        <v>4.3493943196890079</v>
      </c>
      <c r="E37" s="92">
        <v>6.1961368653421616</v>
      </c>
      <c r="F37" s="92">
        <v>5.5898178807947021</v>
      </c>
      <c r="G37" s="93">
        <v>4.8424944812362076</v>
      </c>
      <c r="H37" s="92">
        <v>4.3806949806949813</v>
      </c>
      <c r="I37" s="92">
        <v>4.2434197462768886</v>
      </c>
      <c r="J37" s="93">
        <v>4.6572642029784932</v>
      </c>
      <c r="K37" s="90"/>
      <c r="L37" s="90"/>
      <c r="M37" s="91"/>
      <c r="N37" s="53"/>
      <c r="O37" s="53"/>
      <c r="P37" s="53"/>
      <c r="Q37" s="70"/>
      <c r="R37" s="52"/>
      <c r="S37" s="52"/>
      <c r="T37" s="73"/>
      <c r="U37" s="62"/>
      <c r="V37" s="63"/>
      <c r="W37" s="77"/>
      <c r="X37" s="58"/>
      <c r="Y37" s="58"/>
      <c r="Z37" s="82"/>
      <c r="AA37" s="52"/>
      <c r="AB37" s="52"/>
      <c r="AC37" s="73"/>
      <c r="AD37" s="59"/>
      <c r="AE37" s="60"/>
      <c r="AF37" s="56"/>
    </row>
    <row r="38" spans="1:32" x14ac:dyDescent="0.25">
      <c r="A38" s="3">
        <v>1992</v>
      </c>
      <c r="B38" s="90"/>
      <c r="C38" s="90"/>
      <c r="D38" s="91"/>
      <c r="E38" s="90"/>
      <c r="F38" s="90"/>
      <c r="G38" s="91"/>
      <c r="H38" s="90"/>
      <c r="I38" s="90"/>
      <c r="J38" s="91"/>
      <c r="K38" s="90"/>
      <c r="L38" s="90"/>
      <c r="M38" s="91"/>
      <c r="N38" s="53"/>
      <c r="O38" s="53"/>
      <c r="P38" s="53"/>
      <c r="Q38" s="70"/>
      <c r="R38" s="52"/>
      <c r="S38" s="52"/>
      <c r="T38" s="73"/>
      <c r="U38" s="62"/>
      <c r="V38" s="63"/>
      <c r="W38" s="77"/>
      <c r="X38" s="58"/>
      <c r="Y38" s="58"/>
      <c r="Z38" s="82"/>
      <c r="AA38" s="52"/>
      <c r="AB38" s="52"/>
      <c r="AC38" s="73"/>
      <c r="AD38" s="59"/>
      <c r="AE38" s="60"/>
      <c r="AF38" s="56"/>
    </row>
    <row r="39" spans="1:32" x14ac:dyDescent="0.25">
      <c r="A39" s="3">
        <v>1993</v>
      </c>
      <c r="B39" s="90"/>
      <c r="C39" s="90"/>
      <c r="D39" s="91"/>
      <c r="E39" s="90"/>
      <c r="F39" s="90"/>
      <c r="G39" s="91"/>
      <c r="H39" s="90"/>
      <c r="I39" s="90"/>
      <c r="J39" s="91"/>
      <c r="K39" s="90"/>
      <c r="L39" s="90"/>
      <c r="M39" s="91"/>
      <c r="N39" s="54">
        <v>1.6318574514038897</v>
      </c>
      <c r="O39" s="53">
        <v>0.40999999999999659</v>
      </c>
      <c r="P39" s="53">
        <v>0.10773938084953114</v>
      </c>
      <c r="Q39" s="71">
        <v>2.478280254777069</v>
      </c>
      <c r="R39" s="52"/>
      <c r="S39" s="52"/>
      <c r="T39" s="73"/>
      <c r="U39" s="61">
        <v>2.199274047186933</v>
      </c>
      <c r="V39" s="54">
        <v>3.6235027223230483</v>
      </c>
      <c r="W39" s="71">
        <v>3.103493647912885</v>
      </c>
      <c r="X39" s="58"/>
      <c r="Y39" s="58"/>
      <c r="Z39" s="82"/>
      <c r="AA39" s="52"/>
      <c r="AB39" s="52"/>
      <c r="AC39" s="73"/>
      <c r="AD39" s="59"/>
      <c r="AE39" s="60"/>
      <c r="AF39" s="56"/>
    </row>
    <row r="40" spans="1:32" x14ac:dyDescent="0.25">
      <c r="A40" s="3">
        <v>1994</v>
      </c>
      <c r="B40" s="94">
        <v>0.65095541401274148</v>
      </c>
      <c r="C40" s="94">
        <v>0.2092356687898074</v>
      </c>
      <c r="D40" s="93">
        <v>7.2070314416564853</v>
      </c>
      <c r="E40" s="94"/>
      <c r="F40" s="92">
        <v>4.9449890270665646</v>
      </c>
      <c r="G40" s="93">
        <v>5.0517922457937052</v>
      </c>
      <c r="H40" s="90"/>
      <c r="I40" s="90"/>
      <c r="J40" s="91"/>
      <c r="K40" s="94">
        <v>0.61876892028254282</v>
      </c>
      <c r="L40" s="92">
        <v>1.15098385469223</v>
      </c>
      <c r="M40" s="93">
        <v>1.4272199798183653</v>
      </c>
      <c r="N40" s="55"/>
      <c r="O40" s="55"/>
      <c r="P40" s="55"/>
      <c r="Q40" s="72"/>
      <c r="R40" s="52"/>
      <c r="S40" s="52"/>
      <c r="T40" s="73"/>
      <c r="U40" s="14"/>
      <c r="V40" s="55"/>
      <c r="W40" s="72"/>
      <c r="X40" s="58"/>
      <c r="Y40" s="58"/>
      <c r="Z40" s="82"/>
      <c r="AA40" s="52"/>
      <c r="AB40" s="52"/>
      <c r="AC40" s="73"/>
      <c r="AD40" s="59"/>
      <c r="AE40" s="60"/>
      <c r="AF40" s="56"/>
    </row>
    <row r="41" spans="1:32" x14ac:dyDescent="0.25">
      <c r="A41" s="3">
        <v>1995</v>
      </c>
      <c r="B41" s="90"/>
      <c r="C41" s="90"/>
      <c r="D41" s="91"/>
      <c r="E41" s="90"/>
      <c r="F41" s="90"/>
      <c r="G41" s="91"/>
      <c r="H41" s="92">
        <v>5.3364598540145991</v>
      </c>
      <c r="I41" s="92">
        <v>4.3746715328467118</v>
      </c>
      <c r="J41" s="93">
        <v>4.7236861313868586</v>
      </c>
      <c r="K41" s="90"/>
      <c r="L41" s="90"/>
      <c r="M41" s="91"/>
      <c r="N41" s="54">
        <v>2.1295541401273876</v>
      </c>
      <c r="O41" s="53"/>
      <c r="P41" s="53"/>
      <c r="Q41" s="70">
        <v>4.3452380952403183E-2</v>
      </c>
      <c r="R41" s="54">
        <v>1.51208732694356</v>
      </c>
      <c r="S41" s="54">
        <v>1.3119009584664536</v>
      </c>
      <c r="T41" s="71">
        <v>1.8211128860489891</v>
      </c>
      <c r="U41" s="55"/>
      <c r="V41" s="63"/>
      <c r="W41" s="77"/>
      <c r="X41" s="81">
        <v>0.41222163308589244</v>
      </c>
      <c r="Y41" s="55">
        <v>2.515906680805988E-2</v>
      </c>
      <c r="Z41" s="83">
        <v>3.8706256627784222E-2</v>
      </c>
      <c r="AA41" s="55">
        <v>4.2424849699398672E-2</v>
      </c>
      <c r="AB41" s="81">
        <v>0.29222335543090261</v>
      </c>
      <c r="AC41" s="72">
        <v>0.11726160122386536</v>
      </c>
      <c r="AD41" s="59"/>
      <c r="AE41" s="60"/>
      <c r="AF41" s="56"/>
    </row>
    <row r="42" spans="1:32" x14ac:dyDescent="0.25">
      <c r="A42" s="3">
        <v>1995</v>
      </c>
      <c r="B42" s="90"/>
      <c r="C42" s="90"/>
      <c r="D42" s="91"/>
      <c r="E42" s="90"/>
      <c r="F42" s="90"/>
      <c r="G42" s="91"/>
      <c r="H42" s="90"/>
      <c r="I42" s="90"/>
      <c r="J42" s="91"/>
      <c r="K42" s="90"/>
      <c r="L42" s="90"/>
      <c r="M42" s="91"/>
      <c r="N42" s="54">
        <v>1.8250000000000075</v>
      </c>
      <c r="O42" s="53">
        <v>7.9999999999998295E-2</v>
      </c>
      <c r="P42" s="53">
        <v>3.3601841196777192E-2</v>
      </c>
      <c r="Q42" s="70"/>
      <c r="R42" s="52"/>
      <c r="S42" s="52"/>
      <c r="T42" s="73"/>
      <c r="U42" s="64"/>
      <c r="V42" s="54">
        <v>1.4217752234993599</v>
      </c>
      <c r="W42" s="72">
        <v>0.69923371647509913</v>
      </c>
      <c r="X42" s="58"/>
      <c r="Y42" s="58"/>
      <c r="Z42" s="82"/>
      <c r="AA42" s="52"/>
      <c r="AB42" s="52"/>
      <c r="AC42" s="73"/>
      <c r="AD42" s="59"/>
      <c r="AE42" s="60"/>
      <c r="AF42" s="56"/>
    </row>
    <row r="43" spans="1:32" x14ac:dyDescent="0.25">
      <c r="A43" s="3">
        <v>1996</v>
      </c>
      <c r="B43" s="90"/>
      <c r="C43" s="90"/>
      <c r="D43" s="91"/>
      <c r="E43" s="90"/>
      <c r="F43" s="90"/>
      <c r="G43" s="91"/>
      <c r="H43" s="90"/>
      <c r="I43" s="90"/>
      <c r="J43" s="91"/>
      <c r="K43" s="90"/>
      <c r="L43" s="90"/>
      <c r="M43" s="91"/>
      <c r="N43" s="55"/>
      <c r="O43" s="53"/>
      <c r="P43" s="53"/>
      <c r="Q43" s="70"/>
      <c r="R43" s="52"/>
      <c r="S43" s="52"/>
      <c r="T43" s="73"/>
      <c r="U43" s="64"/>
      <c r="V43" s="63"/>
      <c r="W43" s="77"/>
      <c r="X43" s="58"/>
      <c r="Y43" s="58"/>
      <c r="Z43" s="82"/>
      <c r="AA43" s="52"/>
      <c r="AB43" s="52"/>
      <c r="AC43" s="73"/>
      <c r="AD43" s="59"/>
      <c r="AE43" s="60"/>
      <c r="AF43" s="56"/>
    </row>
    <row r="44" spans="1:32" x14ac:dyDescent="0.25">
      <c r="A44" s="3">
        <v>1997</v>
      </c>
      <c r="B44" s="90"/>
      <c r="C44" s="90"/>
      <c r="D44" s="91"/>
      <c r="E44" s="90"/>
      <c r="F44" s="90"/>
      <c r="G44" s="91"/>
      <c r="H44" s="90"/>
      <c r="I44" s="90"/>
      <c r="J44" s="91"/>
      <c r="K44" s="90"/>
      <c r="L44" s="90"/>
      <c r="M44" s="91"/>
      <c r="N44" s="55"/>
      <c r="O44" s="53"/>
      <c r="P44" s="53"/>
      <c r="Q44" s="70"/>
      <c r="R44" s="52"/>
      <c r="S44" s="52"/>
      <c r="T44" s="73"/>
      <c r="U44" s="64"/>
      <c r="V44" s="54">
        <v>1.942819499341238</v>
      </c>
      <c r="W44" s="71">
        <v>2.6641633728590213</v>
      </c>
      <c r="X44" s="58"/>
      <c r="Y44" s="58"/>
      <c r="Z44" s="82"/>
      <c r="AA44" s="52"/>
      <c r="AB44" s="52"/>
      <c r="AC44" s="73"/>
      <c r="AD44" s="59"/>
      <c r="AE44" s="60"/>
      <c r="AF44" s="56"/>
    </row>
    <row r="45" spans="1:32" x14ac:dyDescent="0.25">
      <c r="A45" s="3">
        <v>1998</v>
      </c>
      <c r="B45" s="90"/>
      <c r="C45" s="90"/>
      <c r="D45" s="91"/>
      <c r="E45" s="90"/>
      <c r="F45" s="90"/>
      <c r="G45" s="91"/>
      <c r="H45" s="90"/>
      <c r="I45" s="90"/>
      <c r="J45" s="91"/>
      <c r="K45" s="90"/>
      <c r="L45" s="90"/>
      <c r="M45" s="91"/>
      <c r="N45" s="55"/>
      <c r="O45" s="53"/>
      <c r="P45" s="53"/>
      <c r="Q45" s="70"/>
      <c r="R45" s="52"/>
      <c r="S45" s="52"/>
      <c r="T45" s="73"/>
      <c r="U45" s="64"/>
      <c r="V45" s="63"/>
      <c r="W45" s="77"/>
      <c r="X45" s="58"/>
      <c r="Y45" s="58"/>
      <c r="Z45" s="82"/>
      <c r="AA45" s="52"/>
      <c r="AB45" s="52"/>
      <c r="AC45" s="73"/>
      <c r="AD45" s="59"/>
      <c r="AE45" s="60"/>
      <c r="AF45" s="56"/>
    </row>
    <row r="46" spans="1:32" x14ac:dyDescent="0.25">
      <c r="A46" s="3">
        <v>1999</v>
      </c>
      <c r="B46" s="90"/>
      <c r="C46" s="90"/>
      <c r="D46" s="91"/>
      <c r="E46" s="92">
        <v>5.4559631432545181</v>
      </c>
      <c r="F46" s="94"/>
      <c r="G46" s="93">
        <v>4.45304837640822</v>
      </c>
      <c r="H46" s="92">
        <v>1.9399307958477525</v>
      </c>
      <c r="I46" s="92">
        <v>3.5135986159169579</v>
      </c>
      <c r="J46" s="93">
        <v>3.1246020761245688</v>
      </c>
      <c r="K46" s="90"/>
      <c r="L46" s="90"/>
      <c r="M46" s="91"/>
      <c r="N46" s="53"/>
      <c r="O46" s="54">
        <v>1.7300000000000004</v>
      </c>
      <c r="P46" s="53">
        <v>0.46293988269794734</v>
      </c>
      <c r="Q46" s="70"/>
      <c r="R46" s="52"/>
      <c r="S46" s="52"/>
      <c r="T46" s="73"/>
      <c r="U46" s="14">
        <v>0.21037463976945245</v>
      </c>
      <c r="V46" s="54">
        <v>1.4042507204610961</v>
      </c>
      <c r="W46" s="71">
        <v>1.3201008645533168</v>
      </c>
      <c r="X46" s="55">
        <v>2.7747062888738756E-2</v>
      </c>
      <c r="Y46" s="55">
        <v>0</v>
      </c>
      <c r="Z46" s="83">
        <v>5.3108465608465334E-2</v>
      </c>
      <c r="AA46" s="52"/>
      <c r="AB46" s="52"/>
      <c r="AC46" s="73"/>
      <c r="AD46" s="59"/>
      <c r="AE46" s="60"/>
      <c r="AF46" s="56"/>
    </row>
    <row r="47" spans="1:32" x14ac:dyDescent="0.25">
      <c r="A47" s="3">
        <v>2000</v>
      </c>
      <c r="B47" s="92">
        <v>4.0163957934990435</v>
      </c>
      <c r="C47" s="92">
        <v>6.3787762906309728</v>
      </c>
      <c r="D47" s="93">
        <v>5.5573921583887342</v>
      </c>
      <c r="E47" s="90"/>
      <c r="F47" s="90"/>
      <c r="G47" s="91"/>
      <c r="H47" s="90"/>
      <c r="I47" s="92">
        <v>4.764905660377357</v>
      </c>
      <c r="J47" s="93">
        <v>5.0707277628032212</v>
      </c>
      <c r="K47" s="90"/>
      <c r="L47" s="90"/>
      <c r="M47" s="91"/>
      <c r="N47" s="54">
        <v>1.082341040462427</v>
      </c>
      <c r="O47" s="53">
        <v>0.52999999999999758</v>
      </c>
      <c r="P47" s="53">
        <v>0.52855191256830358</v>
      </c>
      <c r="Q47" s="71">
        <v>1.2965049928673322</v>
      </c>
      <c r="R47" s="55">
        <v>0.85527153044432069</v>
      </c>
      <c r="S47" s="55">
        <v>0.87735600658255719</v>
      </c>
      <c r="T47" s="71">
        <v>1.1243006034009875</v>
      </c>
      <c r="U47" s="61">
        <v>2.8130578512396696</v>
      </c>
      <c r="V47" s="54">
        <v>5.3034710743801634</v>
      </c>
      <c r="W47" s="71">
        <v>5.2530578512396628</v>
      </c>
      <c r="X47" s="55">
        <v>0</v>
      </c>
      <c r="Y47" s="55">
        <v>0</v>
      </c>
      <c r="Z47" s="83">
        <v>0.15913043478260896</v>
      </c>
      <c r="AA47" s="52"/>
      <c r="AB47" s="52"/>
      <c r="AC47" s="73"/>
      <c r="AD47" s="59"/>
      <c r="AE47" s="60"/>
      <c r="AF47" s="56"/>
    </row>
    <row r="48" spans="1:32" x14ac:dyDescent="0.25">
      <c r="A48" s="3">
        <v>2001</v>
      </c>
      <c r="B48" s="92">
        <v>4.9230245231607661</v>
      </c>
      <c r="C48" s="92">
        <v>6.524250681198926</v>
      </c>
      <c r="D48" s="95"/>
      <c r="E48" s="90"/>
      <c r="F48" s="90"/>
      <c r="G48" s="91"/>
      <c r="H48" s="96"/>
      <c r="I48" s="94"/>
      <c r="J48" s="93">
        <v>3.4500000000000166</v>
      </c>
      <c r="K48" s="90"/>
      <c r="L48" s="90"/>
      <c r="M48" s="91"/>
      <c r="N48" s="54">
        <v>1.1253351206434372</v>
      </c>
      <c r="O48" s="53"/>
      <c r="P48" s="53"/>
      <c r="Q48" s="71">
        <v>2.4053450608930973</v>
      </c>
      <c r="R48" s="55">
        <v>0.72999999999999887</v>
      </c>
      <c r="S48" s="54">
        <v>3.9338888888888914</v>
      </c>
      <c r="T48" s="71">
        <v>1.6424999999999974</v>
      </c>
      <c r="U48" s="14">
        <v>0.63</v>
      </c>
      <c r="V48" s="54">
        <v>3.0399999999999991</v>
      </c>
      <c r="W48" s="72"/>
      <c r="X48" s="58"/>
      <c r="Y48" s="58"/>
      <c r="Z48" s="82"/>
      <c r="AA48" s="52"/>
      <c r="AB48" s="52"/>
      <c r="AC48" s="73"/>
      <c r="AD48" s="59"/>
      <c r="AE48" s="60"/>
      <c r="AF48" s="56"/>
    </row>
    <row r="49" spans="1:32" x14ac:dyDescent="0.25">
      <c r="A49" s="3">
        <v>2002</v>
      </c>
      <c r="B49" s="90"/>
      <c r="C49" s="90"/>
      <c r="D49" s="91"/>
      <c r="E49" s="90"/>
      <c r="F49" s="90"/>
      <c r="G49" s="91"/>
      <c r="H49" s="90"/>
      <c r="I49" s="90"/>
      <c r="J49" s="91"/>
      <c r="K49" s="90"/>
      <c r="L49" s="90"/>
      <c r="M49" s="91"/>
      <c r="N49" s="55"/>
      <c r="O49" s="55"/>
      <c r="P49" s="55"/>
      <c r="Q49" s="72"/>
      <c r="R49" s="55"/>
      <c r="S49" s="55"/>
      <c r="T49" s="72"/>
      <c r="U49" s="14"/>
      <c r="V49" s="55"/>
      <c r="W49" s="72"/>
      <c r="X49" s="58"/>
      <c r="Y49" s="58"/>
      <c r="Z49" s="82"/>
      <c r="AA49" s="52"/>
      <c r="AB49" s="52"/>
      <c r="AC49" s="73"/>
      <c r="AD49" s="59"/>
      <c r="AE49" s="60"/>
      <c r="AF49" s="56"/>
    </row>
    <row r="50" spans="1:32" x14ac:dyDescent="0.25">
      <c r="A50" s="3">
        <v>2003</v>
      </c>
      <c r="B50" s="90"/>
      <c r="C50" s="90"/>
      <c r="D50" s="91"/>
      <c r="E50" s="94"/>
      <c r="F50" s="92">
        <v>2.4945414099931589</v>
      </c>
      <c r="G50" s="97"/>
      <c r="H50" s="90"/>
      <c r="I50" s="90"/>
      <c r="J50" s="91"/>
      <c r="K50" s="94">
        <v>0.2205541640576088</v>
      </c>
      <c r="L50" s="92">
        <v>1.1941922354414514</v>
      </c>
      <c r="M50" s="93">
        <v>1.2090482154038822</v>
      </c>
      <c r="N50" s="54">
        <v>2.039851150202975</v>
      </c>
      <c r="O50" s="54">
        <v>1.2300000000000004</v>
      </c>
      <c r="P50" s="53">
        <v>0.40373201438848932</v>
      </c>
      <c r="Q50" s="70">
        <v>0.75619834710743805</v>
      </c>
      <c r="R50" s="54">
        <v>1.4956580732700187</v>
      </c>
      <c r="S50" s="54">
        <v>1.3124151967435542</v>
      </c>
      <c r="T50" s="71">
        <v>1.3619402985074662</v>
      </c>
      <c r="U50" s="14">
        <v>4.9324324324324324E-3</v>
      </c>
      <c r="V50" s="54">
        <v>1.42054054054054</v>
      </c>
      <c r="W50" s="71">
        <v>1.9092307692307706</v>
      </c>
      <c r="X50" s="58"/>
      <c r="Y50" s="58"/>
      <c r="Z50" s="82"/>
      <c r="AA50" s="52"/>
      <c r="AB50" s="52"/>
      <c r="AC50" s="73"/>
      <c r="AD50" s="59"/>
      <c r="AE50" s="60"/>
      <c r="AF50" s="56"/>
    </row>
    <row r="51" spans="1:32" x14ac:dyDescent="0.25">
      <c r="A51" s="3">
        <v>2004</v>
      </c>
      <c r="B51" s="90"/>
      <c r="C51" s="90"/>
      <c r="D51" s="91"/>
      <c r="E51" s="90"/>
      <c r="F51" s="90"/>
      <c r="G51" s="91"/>
      <c r="H51" s="90"/>
      <c r="I51" s="90"/>
      <c r="J51" s="91"/>
      <c r="K51" s="94">
        <v>0.34621621621621057</v>
      </c>
      <c r="L51" s="94">
        <v>1.0881081081081165</v>
      </c>
      <c r="M51" s="93">
        <v>1.4936756756756808</v>
      </c>
      <c r="N51" s="54">
        <v>2.026611570247939</v>
      </c>
      <c r="O51" s="53"/>
      <c r="P51" s="53"/>
      <c r="Q51" s="71">
        <v>1.4439560439560453</v>
      </c>
      <c r="R51" s="55">
        <v>0.96675675675674677</v>
      </c>
      <c r="S51" s="54">
        <v>1.7954054054053985</v>
      </c>
      <c r="T51" s="71">
        <v>2.0913513513513489</v>
      </c>
      <c r="U51" s="14">
        <v>0</v>
      </c>
      <c r="V51" s="54">
        <v>1.335365853658538</v>
      </c>
      <c r="W51" s="71">
        <v>2.225609756097561</v>
      </c>
      <c r="X51" s="81">
        <v>0.24977027027027154</v>
      </c>
      <c r="Y51" s="55">
        <v>0</v>
      </c>
      <c r="Z51" s="84"/>
      <c r="AA51" s="52"/>
      <c r="AB51" s="52"/>
      <c r="AC51" s="73"/>
      <c r="AD51" s="59"/>
      <c r="AE51" s="60"/>
      <c r="AF51" s="56"/>
    </row>
    <row r="52" spans="1:32" x14ac:dyDescent="0.25">
      <c r="A52" s="3">
        <v>2005</v>
      </c>
      <c r="B52" s="92">
        <v>4.545095367847412</v>
      </c>
      <c r="C52" s="92">
        <v>7.6266902768834495</v>
      </c>
      <c r="D52" s="93">
        <v>6.8997043627899188</v>
      </c>
      <c r="E52" s="90"/>
      <c r="F52" s="90"/>
      <c r="G52" s="91"/>
      <c r="H52" s="92">
        <v>4.2864768683273979</v>
      </c>
      <c r="I52" s="92">
        <v>3.3936264308012469</v>
      </c>
      <c r="J52" s="93">
        <v>3.8539499036608862</v>
      </c>
      <c r="K52" s="90"/>
      <c r="L52" s="90"/>
      <c r="M52" s="91"/>
      <c r="N52" s="53">
        <v>0.15041208791208649</v>
      </c>
      <c r="O52" s="54">
        <v>1.1099999999999959</v>
      </c>
      <c r="P52" s="53">
        <v>0.55729023383768705</v>
      </c>
      <c r="Q52" s="71">
        <v>1.5117166212534057</v>
      </c>
      <c r="R52" s="55">
        <v>0.23190607734807031</v>
      </c>
      <c r="S52" s="55">
        <v>0.55455801104972813</v>
      </c>
      <c r="T52" s="72">
        <v>0.36298342541436412</v>
      </c>
      <c r="U52" s="62"/>
      <c r="V52" s="63"/>
      <c r="W52" s="78"/>
      <c r="X52" s="55">
        <v>0</v>
      </c>
      <c r="Y52" s="55">
        <v>0</v>
      </c>
      <c r="Z52" s="85"/>
      <c r="AA52" s="52"/>
      <c r="AB52" s="52"/>
      <c r="AC52" s="73"/>
      <c r="AD52" s="59"/>
      <c r="AE52" s="60"/>
      <c r="AF52" s="56"/>
    </row>
    <row r="53" spans="1:32" ht="14.25" customHeight="1" x14ac:dyDescent="0.25">
      <c r="A53" s="3">
        <v>2006</v>
      </c>
      <c r="B53" s="92">
        <v>4.0567142857142864</v>
      </c>
      <c r="C53" s="92">
        <v>4.2340000000000027</v>
      </c>
      <c r="D53" s="93">
        <v>4.8550009970821231</v>
      </c>
      <c r="E53" s="92">
        <v>4.578756777691714</v>
      </c>
      <c r="F53" s="92">
        <v>4.3494011976047844</v>
      </c>
      <c r="G53" s="93">
        <v>4.5278659953524398</v>
      </c>
      <c r="H53" s="92">
        <v>3.5599177330895801</v>
      </c>
      <c r="I53" s="92">
        <v>5.633473389355748</v>
      </c>
      <c r="J53" s="93">
        <v>2.8056939501779312</v>
      </c>
      <c r="K53" s="94">
        <v>0.15610062893081916</v>
      </c>
      <c r="L53" s="92">
        <v>1.7262893081760964</v>
      </c>
      <c r="M53" s="93">
        <v>1.5977358490566056</v>
      </c>
      <c r="N53" s="53">
        <v>0.54540229885057356</v>
      </c>
      <c r="O53" s="53">
        <v>6.0000000000005826E-2</v>
      </c>
      <c r="P53" s="53">
        <v>5.0344827586211782E-2</v>
      </c>
      <c r="Q53" s="70">
        <v>0.38139321723189751</v>
      </c>
      <c r="R53" s="54">
        <v>1.5725623582766426</v>
      </c>
      <c r="S53" s="54">
        <v>2.1519274376417248</v>
      </c>
      <c r="T53" s="71">
        <v>1.2828798185941079</v>
      </c>
      <c r="U53" s="14">
        <v>5.2898550724637679E-2</v>
      </c>
      <c r="V53" s="54">
        <v>1.5029411764705878</v>
      </c>
      <c r="W53" s="71">
        <v>1.9871714643304121</v>
      </c>
      <c r="X53" s="65"/>
      <c r="Y53" s="67"/>
      <c r="Z53" s="85"/>
      <c r="AA53" s="54">
        <v>2.4221967963386719</v>
      </c>
      <c r="AB53" s="81">
        <v>0.38007822048398904</v>
      </c>
      <c r="AC53" s="73"/>
      <c r="AD53" s="59"/>
      <c r="AE53" s="60"/>
      <c r="AF53" s="56"/>
    </row>
    <row r="54" spans="1:32" x14ac:dyDescent="0.25">
      <c r="A54" s="3">
        <v>2007</v>
      </c>
      <c r="B54" s="90"/>
      <c r="C54" s="90"/>
      <c r="D54" s="91"/>
      <c r="E54" s="90"/>
      <c r="F54" s="90"/>
      <c r="G54" s="91"/>
      <c r="H54" s="94"/>
      <c r="I54" s="94"/>
      <c r="J54" s="95"/>
      <c r="K54" s="90"/>
      <c r="L54" s="90"/>
      <c r="M54" s="91"/>
      <c r="N54" s="53"/>
      <c r="O54" s="53"/>
      <c r="P54" s="53"/>
      <c r="Q54" s="70"/>
      <c r="R54" s="55"/>
      <c r="S54" s="55"/>
      <c r="T54" s="72"/>
      <c r="U54" s="62"/>
      <c r="V54" s="63"/>
      <c r="W54" s="78"/>
      <c r="X54" s="65"/>
      <c r="Y54" s="67"/>
      <c r="Z54" s="85"/>
      <c r="AA54" s="52"/>
      <c r="AB54" s="52"/>
      <c r="AC54" s="73"/>
      <c r="AD54" s="59"/>
      <c r="AE54" s="60"/>
      <c r="AF54" s="56"/>
    </row>
    <row r="55" spans="1:32" x14ac:dyDescent="0.25">
      <c r="A55" s="3">
        <v>2008</v>
      </c>
      <c r="B55" s="90"/>
      <c r="C55" s="90"/>
      <c r="D55" s="91"/>
      <c r="E55" s="90"/>
      <c r="F55" s="90"/>
      <c r="G55" s="91"/>
      <c r="H55" s="90"/>
      <c r="I55" s="90"/>
      <c r="J55" s="91"/>
      <c r="K55" s="90"/>
      <c r="L55" s="90"/>
      <c r="M55" s="91"/>
      <c r="N55" s="53"/>
      <c r="O55" s="53"/>
      <c r="P55" s="53"/>
      <c r="Q55" s="70"/>
      <c r="R55" s="54">
        <v>1.2215601023017899</v>
      </c>
      <c r="S55" s="54">
        <v>1.7410741687979534</v>
      </c>
      <c r="T55" s="71">
        <v>1.310485933503835</v>
      </c>
      <c r="U55" s="14">
        <v>0.13895939086294415</v>
      </c>
      <c r="V55" s="55">
        <v>0.2833248730964481</v>
      </c>
      <c r="W55" s="72"/>
      <c r="X55" s="55"/>
      <c r="Y55" s="55"/>
      <c r="Z55" s="83"/>
      <c r="AA55" s="52"/>
      <c r="AB55" s="52"/>
      <c r="AC55" s="73"/>
      <c r="AD55" s="59"/>
      <c r="AE55" s="60"/>
      <c r="AF55" s="56"/>
    </row>
    <row r="56" spans="1:32" x14ac:dyDescent="0.25">
      <c r="A56" s="3">
        <v>2009</v>
      </c>
      <c r="B56" s="90"/>
      <c r="C56" s="90"/>
      <c r="D56" s="91"/>
      <c r="E56" s="94"/>
      <c r="F56" s="92">
        <v>4.2137341153470187</v>
      </c>
      <c r="G56" s="93">
        <v>4.6668621700879767</v>
      </c>
      <c r="H56" s="92">
        <v>3.2842829076620839</v>
      </c>
      <c r="I56" s="92">
        <v>4.0228880157170916</v>
      </c>
      <c r="J56" s="93">
        <v>2.5489945155393006</v>
      </c>
      <c r="K56" s="94">
        <v>0.14271749755620927</v>
      </c>
      <c r="L56" s="94">
        <v>0.92409579667644304</v>
      </c>
      <c r="M56" s="97">
        <v>0.53519061583577709</v>
      </c>
      <c r="N56" s="53"/>
      <c r="O56" s="54">
        <v>1.3900000000000006</v>
      </c>
      <c r="P56" s="53">
        <v>0.49594330400782033</v>
      </c>
      <c r="Q56" s="71">
        <v>3.9459459459459496</v>
      </c>
      <c r="R56" s="54">
        <v>1.2361022364217278</v>
      </c>
      <c r="S56" s="54">
        <v>1.2477635782747607</v>
      </c>
      <c r="T56" s="72">
        <v>0.66469648562300354</v>
      </c>
      <c r="U56" s="14">
        <v>0</v>
      </c>
      <c r="V56" s="55">
        <v>0.43489361702127288</v>
      </c>
      <c r="W56" s="72">
        <v>6.7790811339198884E-2</v>
      </c>
      <c r="X56" s="55">
        <v>-3.3272561531466427E-3</v>
      </c>
      <c r="Y56" s="55">
        <v>0.15638103919781185</v>
      </c>
      <c r="Z56" s="83">
        <v>0</v>
      </c>
      <c r="AA56" s="55">
        <v>3.9247311827956786E-2</v>
      </c>
      <c r="AB56" s="55">
        <v>1.7839687194526159E-2</v>
      </c>
      <c r="AC56" s="73"/>
      <c r="AD56" s="59"/>
      <c r="AE56" s="60"/>
      <c r="AF56" s="56"/>
    </row>
    <row r="57" spans="1:32" x14ac:dyDescent="0.25">
      <c r="A57" s="3">
        <v>2010</v>
      </c>
      <c r="B57" s="90"/>
      <c r="C57" s="90"/>
      <c r="D57" s="91"/>
      <c r="E57" s="90"/>
      <c r="F57" s="90"/>
      <c r="G57" s="91"/>
      <c r="H57" s="92">
        <v>2.2590540540540567</v>
      </c>
      <c r="I57" s="94">
        <v>1.0259459459459521</v>
      </c>
      <c r="J57" s="95"/>
      <c r="K57" s="94">
        <v>5.918918918919143E-2</v>
      </c>
      <c r="L57" s="94">
        <v>0.23675675675676572</v>
      </c>
      <c r="M57" s="97">
        <v>1.0752702702702597</v>
      </c>
      <c r="N57" s="53">
        <v>0.89503190519598841</v>
      </c>
      <c r="O57" s="53">
        <v>0.13999999999999702</v>
      </c>
      <c r="P57" s="53">
        <v>0.69054054054052583</v>
      </c>
      <c r="Q57" s="73"/>
      <c r="R57" s="55">
        <v>7.4489795918370169E-2</v>
      </c>
      <c r="S57" s="55">
        <v>0.39727891156462619</v>
      </c>
      <c r="T57" s="71">
        <v>1.5891156462585048</v>
      </c>
      <c r="U57" s="62"/>
      <c r="V57" s="63"/>
      <c r="W57" s="78"/>
      <c r="X57" s="55">
        <v>0.11097972972973394</v>
      </c>
      <c r="Y57" s="55">
        <v>0.13564189189189119</v>
      </c>
      <c r="Z57" s="83">
        <v>8.6317567567567921E-2</v>
      </c>
      <c r="AA57" s="52"/>
      <c r="AB57" s="52"/>
      <c r="AC57" s="73"/>
      <c r="AD57" s="59"/>
      <c r="AE57" s="60"/>
      <c r="AF57" s="56"/>
    </row>
    <row r="58" spans="1:32" x14ac:dyDescent="0.25">
      <c r="A58" s="3">
        <v>2011</v>
      </c>
      <c r="B58" s="98"/>
      <c r="C58" s="94">
        <v>0</v>
      </c>
      <c r="D58" s="95">
        <v>0.56019184652276988</v>
      </c>
      <c r="E58" s="92">
        <v>2.6415082382762893</v>
      </c>
      <c r="F58" s="94">
        <v>1.4202154626108967</v>
      </c>
      <c r="G58" s="97">
        <v>1.6283903675538705</v>
      </c>
      <c r="H58" s="92">
        <v>1.0303827751196168</v>
      </c>
      <c r="I58" s="94">
        <v>0.24516746411483253</v>
      </c>
      <c r="J58" s="95">
        <v>0.57631578947368123</v>
      </c>
      <c r="K58" s="90"/>
      <c r="L58" s="90"/>
      <c r="M58" s="91"/>
      <c r="N58" s="53"/>
      <c r="O58" s="53">
        <v>7.840095465393937E-2</v>
      </c>
      <c r="P58" s="53">
        <v>0</v>
      </c>
      <c r="Q58" s="70">
        <v>0.11324582338902371</v>
      </c>
      <c r="R58" s="55">
        <v>0.71769662921348598</v>
      </c>
      <c r="S58" s="55">
        <v>8.2022471910110611E-2</v>
      </c>
      <c r="T58" s="72">
        <v>2.050561797752401E-2</v>
      </c>
      <c r="U58" s="66"/>
      <c r="V58" s="55">
        <v>0.13254189944133976</v>
      </c>
      <c r="W58" s="72">
        <v>0.54036312849162127</v>
      </c>
      <c r="X58" s="55">
        <v>0</v>
      </c>
      <c r="Y58" s="55">
        <v>8.7320574162662052E-3</v>
      </c>
      <c r="Z58" s="85"/>
      <c r="AA58" s="55">
        <v>0.16089420654911904</v>
      </c>
      <c r="AB58" s="55">
        <v>0.11032745591939475</v>
      </c>
      <c r="AC58" s="87">
        <v>0.33948544346648613</v>
      </c>
      <c r="AD58" s="59"/>
      <c r="AE58" s="60"/>
      <c r="AF58" s="56"/>
    </row>
    <row r="59" spans="1:32" x14ac:dyDescent="0.25">
      <c r="A59" s="3">
        <v>2012</v>
      </c>
      <c r="B59" s="94">
        <v>0.89201005025125524</v>
      </c>
      <c r="C59" s="94">
        <v>1.0299497487437195</v>
      </c>
      <c r="D59" s="95">
        <v>0.68050251256282246</v>
      </c>
      <c r="E59" s="94"/>
      <c r="F59" s="92">
        <v>3.4572031662269249</v>
      </c>
      <c r="G59" s="93">
        <v>2.5880738786279611</v>
      </c>
      <c r="H59" s="96">
        <v>0.65841269841269812</v>
      </c>
      <c r="I59" s="94"/>
      <c r="J59" s="95"/>
      <c r="K59" s="92">
        <v>1.4478132678132642</v>
      </c>
      <c r="L59" s="94">
        <v>0.7508845208845184</v>
      </c>
      <c r="M59" s="97">
        <v>0.68343980343980815</v>
      </c>
      <c r="N59" s="53"/>
      <c r="O59" s="53">
        <v>0</v>
      </c>
      <c r="P59" s="53"/>
      <c r="Q59" s="70">
        <v>0.53741772151898581</v>
      </c>
      <c r="R59" s="55">
        <v>0.16636363636363283</v>
      </c>
      <c r="S59" s="55">
        <v>0</v>
      </c>
      <c r="T59" s="72">
        <v>0.55731818181818327</v>
      </c>
      <c r="U59" s="66"/>
      <c r="V59" s="55">
        <v>6.3376623376624835E-2</v>
      </c>
      <c r="W59" s="72">
        <v>0.17428571428571338</v>
      </c>
      <c r="X59" s="55">
        <v>9.1959798994969644E-2</v>
      </c>
      <c r="Y59" s="55">
        <v>1.839195979899785E-2</v>
      </c>
      <c r="Z59" s="83">
        <v>5.5175879396987017E-2</v>
      </c>
      <c r="AA59" s="52"/>
      <c r="AB59" s="52"/>
      <c r="AC59" s="73"/>
      <c r="AD59" s="59"/>
      <c r="AE59" s="60"/>
      <c r="AF59" s="56"/>
    </row>
    <row r="60" spans="1:32" x14ac:dyDescent="0.25">
      <c r="A60" s="3">
        <v>2013</v>
      </c>
      <c r="B60" s="92">
        <v>2.7855263157894652</v>
      </c>
      <c r="C60" s="92">
        <v>1.6603383458646579</v>
      </c>
      <c r="D60" s="95"/>
      <c r="E60" s="92">
        <v>4.4353030303030359</v>
      </c>
      <c r="F60" s="94">
        <v>1.0391459074732874</v>
      </c>
      <c r="G60" s="93">
        <v>2.454982206405695</v>
      </c>
      <c r="H60" s="92">
        <v>1.7243103448275874</v>
      </c>
      <c r="I60" s="92">
        <v>4.4303448275862065</v>
      </c>
      <c r="J60" s="93">
        <v>2.557185628742511</v>
      </c>
      <c r="K60" s="94"/>
      <c r="L60" s="92">
        <v>1.647947761194031</v>
      </c>
      <c r="M60" s="97">
        <v>4.0858208955225427E-2</v>
      </c>
      <c r="N60" s="53">
        <v>0.23637048192771459</v>
      </c>
      <c r="O60" s="54">
        <v>1.1533457249070627</v>
      </c>
      <c r="P60" s="53">
        <v>0.13742469879518071</v>
      </c>
      <c r="Q60" s="71">
        <v>1.180483271375466</v>
      </c>
      <c r="R60" s="55">
        <v>0.71741379310344866</v>
      </c>
      <c r="S60" s="54">
        <v>1.107586206896555</v>
      </c>
      <c r="T60" s="72">
        <v>3.7758620689656602E-2</v>
      </c>
      <c r="U60" s="66"/>
      <c r="V60" s="55">
        <v>0.21057692307692108</v>
      </c>
      <c r="W60" s="72">
        <v>0.25269230769230733</v>
      </c>
      <c r="X60" s="55">
        <v>0.12396226415094809</v>
      </c>
      <c r="Y60" s="55">
        <v>0.12396226415093831</v>
      </c>
      <c r="Z60" s="83">
        <v>0.11018867924528067</v>
      </c>
      <c r="AA60" s="55">
        <v>0.21792366412213773</v>
      </c>
      <c r="AB60" s="55">
        <v>0</v>
      </c>
      <c r="AC60" s="73"/>
      <c r="AD60" s="56"/>
      <c r="AE60" s="56"/>
      <c r="AF60" s="56"/>
    </row>
    <row r="61" spans="1:32" x14ac:dyDescent="0.25">
      <c r="A61" s="3">
        <v>2014</v>
      </c>
      <c r="B61" s="90"/>
      <c r="C61" s="90"/>
      <c r="D61" s="91"/>
      <c r="E61" s="90"/>
      <c r="F61" s="90"/>
      <c r="G61" s="91"/>
      <c r="H61" s="90"/>
      <c r="I61" s="90"/>
      <c r="J61" s="91"/>
      <c r="K61" s="94"/>
      <c r="L61" s="94">
        <v>1.9945355191252862E-2</v>
      </c>
      <c r="M61" s="97">
        <v>9.9726775956278491E-2</v>
      </c>
      <c r="N61" s="53">
        <v>0.31912806539508859</v>
      </c>
      <c r="O61" s="54">
        <v>1.5415531335149855</v>
      </c>
      <c r="P61" s="53">
        <v>0.64645776566757707</v>
      </c>
      <c r="Q61" s="70">
        <v>0.169073569482287</v>
      </c>
      <c r="R61" s="54">
        <v>2.9038674033149197</v>
      </c>
      <c r="S61" s="54">
        <v>2.5005524861878423</v>
      </c>
      <c r="T61" s="72">
        <v>0.24198895027624512</v>
      </c>
      <c r="U61" s="66"/>
      <c r="V61" s="55"/>
      <c r="W61" s="72">
        <v>2.9674796747968604E-2</v>
      </c>
      <c r="X61" s="55">
        <v>0</v>
      </c>
      <c r="Y61" s="55">
        <v>0</v>
      </c>
      <c r="Z61" s="85"/>
      <c r="AA61" s="52"/>
      <c r="AB61" s="52"/>
      <c r="AC61" s="73"/>
      <c r="AD61" s="56"/>
      <c r="AE61" s="56"/>
      <c r="AF61" s="56"/>
    </row>
    <row r="62" spans="1:32" x14ac:dyDescent="0.25">
      <c r="A62" s="3">
        <v>2015</v>
      </c>
      <c r="B62" s="90"/>
      <c r="C62" s="90"/>
      <c r="D62" s="91"/>
      <c r="E62" s="90"/>
      <c r="F62" s="90"/>
      <c r="G62" s="91"/>
      <c r="H62" s="94">
        <v>1.1119535519125667</v>
      </c>
      <c r="I62" s="94"/>
      <c r="J62" s="93">
        <v>2.7773907103825102</v>
      </c>
      <c r="K62" s="94">
        <v>0.92981029810298588</v>
      </c>
      <c r="L62" s="94">
        <v>0.13848238482384881</v>
      </c>
      <c r="M62" s="97">
        <v>0.23739837398373478</v>
      </c>
      <c r="N62" s="53"/>
      <c r="O62" s="55"/>
      <c r="P62" s="53"/>
      <c r="Q62" s="70"/>
      <c r="R62" s="55">
        <v>0.39459459459459323</v>
      </c>
      <c r="S62" s="55">
        <v>0.43405405405405179</v>
      </c>
      <c r="T62" s="72">
        <v>6.9054054054054334E-2</v>
      </c>
      <c r="U62" s="66"/>
      <c r="V62" s="55">
        <v>-4.9391069012168793E-3</v>
      </c>
      <c r="W62" s="72">
        <v>3.9459459459458619E-2</v>
      </c>
      <c r="X62" s="55">
        <v>0</v>
      </c>
      <c r="Y62" s="55">
        <v>0</v>
      </c>
      <c r="Z62" s="85"/>
      <c r="AA62" s="81">
        <v>0.30539811066126904</v>
      </c>
      <c r="AB62" s="55"/>
      <c r="AC62" s="72"/>
      <c r="AD62" s="56"/>
      <c r="AE62" s="56"/>
      <c r="AF62" s="56"/>
    </row>
    <row r="63" spans="1:32" x14ac:dyDescent="0.25">
      <c r="A63" s="3">
        <v>2016</v>
      </c>
      <c r="B63" s="92">
        <v>3.2351474785918173</v>
      </c>
      <c r="C63" s="92">
        <v>2.8381541389153195</v>
      </c>
      <c r="D63" s="93">
        <v>4.1962892483349137</v>
      </c>
      <c r="E63" s="92">
        <v>4.2725363825363791</v>
      </c>
      <c r="F63" s="92">
        <v>4.4475467775467825</v>
      </c>
      <c r="G63" s="93">
        <v>3.952952182952183</v>
      </c>
      <c r="H63" s="92">
        <v>2.5169716088328071</v>
      </c>
      <c r="I63" s="94">
        <v>1.3467683508102954</v>
      </c>
      <c r="J63" s="93">
        <v>2.8287066246056978</v>
      </c>
      <c r="K63" s="92">
        <v>2.7461904761904732</v>
      </c>
      <c r="L63" s="92">
        <v>2.5839682539682585</v>
      </c>
      <c r="M63" s="97">
        <v>3.4761904761906076E-2</v>
      </c>
      <c r="N63" s="53">
        <v>0.17635431918009076</v>
      </c>
      <c r="O63" s="55">
        <v>0.90026354319180069</v>
      </c>
      <c r="P63" s="53"/>
      <c r="Q63" s="70">
        <v>0.82524158125915226</v>
      </c>
      <c r="R63" s="55">
        <v>0.2642888402625807</v>
      </c>
      <c r="S63" s="55">
        <v>0.63269146608315596</v>
      </c>
      <c r="T63" s="74"/>
      <c r="U63" s="66"/>
      <c r="V63" s="55">
        <v>0</v>
      </c>
      <c r="W63" s="72">
        <v>0.17023255813953425</v>
      </c>
      <c r="X63" s="55">
        <v>0</v>
      </c>
      <c r="Y63" s="55">
        <v>0.14038461538458746</v>
      </c>
      <c r="Z63" s="85"/>
      <c r="AA63" s="55">
        <v>0</v>
      </c>
      <c r="AB63" s="55">
        <v>0</v>
      </c>
      <c r="AC63" s="73"/>
    </row>
    <row r="64" spans="1:32" x14ac:dyDescent="0.25">
      <c r="A64" s="3">
        <v>2017</v>
      </c>
      <c r="B64" s="90"/>
      <c r="C64" s="90"/>
      <c r="D64" s="91"/>
      <c r="E64" s="90"/>
      <c r="F64" s="90"/>
      <c r="G64" s="91"/>
      <c r="H64" s="90"/>
      <c r="I64" s="90"/>
      <c r="J64" s="91"/>
      <c r="K64" s="90"/>
      <c r="L64" s="90"/>
      <c r="M64" s="91"/>
      <c r="N64" s="53"/>
      <c r="O64" s="55"/>
      <c r="P64" s="53"/>
      <c r="Q64" s="70"/>
      <c r="R64" s="54">
        <v>2.2776000000000001</v>
      </c>
      <c r="S64" s="54">
        <v>3.2411999999999983</v>
      </c>
      <c r="T64" s="72">
        <v>7.74398868458267E-2</v>
      </c>
      <c r="U64" s="62"/>
      <c r="V64" s="63"/>
      <c r="W64" s="78"/>
      <c r="X64" s="65"/>
      <c r="Y64" s="80"/>
      <c r="Z64" s="72"/>
      <c r="AA64" s="81">
        <v>0.44640287769784154</v>
      </c>
      <c r="AB64" s="81">
        <v>0.49892086330935126</v>
      </c>
      <c r="AC64" s="73"/>
    </row>
    <row r="65" spans="1:29" x14ac:dyDescent="0.25">
      <c r="A65" s="3">
        <v>2018</v>
      </c>
      <c r="B65" s="90"/>
      <c r="C65" s="90"/>
      <c r="D65" s="91"/>
      <c r="E65" s="90"/>
      <c r="F65" s="90"/>
      <c r="G65" s="91"/>
      <c r="H65" s="90"/>
      <c r="I65" s="90"/>
      <c r="J65" s="91"/>
      <c r="K65" s="90"/>
      <c r="L65" s="90"/>
      <c r="M65" s="91"/>
      <c r="N65" s="53"/>
      <c r="O65" s="55"/>
      <c r="P65" s="53"/>
      <c r="Q65" s="70"/>
      <c r="R65" s="52"/>
      <c r="S65" s="52"/>
      <c r="T65" s="73"/>
      <c r="U65" s="62"/>
      <c r="V65" s="63"/>
      <c r="W65" s="78"/>
      <c r="X65" s="65"/>
      <c r="Y65" s="80"/>
      <c r="Z65" s="72"/>
      <c r="AA65" s="52"/>
      <c r="AB65" s="52"/>
      <c r="AC65" s="73"/>
    </row>
    <row r="66" spans="1:29" x14ac:dyDescent="0.25">
      <c r="A66" s="3">
        <v>2019</v>
      </c>
      <c r="B66" s="92">
        <v>2.296768707482995</v>
      </c>
      <c r="C66" s="94">
        <v>1.1142431972789115</v>
      </c>
      <c r="D66" s="95">
        <v>1.0397534013605469</v>
      </c>
      <c r="E66" s="94"/>
      <c r="F66" s="92">
        <v>4.1308551617873643</v>
      </c>
      <c r="G66" s="93">
        <v>3.464406779661017</v>
      </c>
      <c r="H66" s="90"/>
      <c r="I66" s="90"/>
      <c r="J66" s="91"/>
      <c r="K66" s="92">
        <v>1.3416588124410929</v>
      </c>
      <c r="L66" s="92">
        <v>1.67191328934967</v>
      </c>
      <c r="M66" s="97">
        <v>0.70179076343072788</v>
      </c>
      <c r="N66" s="54">
        <v>1.4320425531914893</v>
      </c>
      <c r="O66" s="54">
        <v>1.6184255319148939</v>
      </c>
      <c r="P66" s="53">
        <v>0.7091765339074273</v>
      </c>
      <c r="Q66" s="71">
        <v>1.3139999999999996</v>
      </c>
      <c r="R66" s="55">
        <v>0.47363095238095076</v>
      </c>
      <c r="S66" s="55">
        <v>0.4475595238095243</v>
      </c>
      <c r="T66" s="72">
        <v>0.10428571428571516</v>
      </c>
      <c r="U66" s="66"/>
      <c r="V66" s="55"/>
      <c r="W66" s="72"/>
      <c r="X66" s="55">
        <v>3.6868131868136443E-2</v>
      </c>
      <c r="Y66" s="55">
        <v>9.0494505494506536E-2</v>
      </c>
      <c r="Z66" s="83">
        <v>5.2847490347489846E-2</v>
      </c>
      <c r="AA66" s="55">
        <v>8.7142857142856828E-2</v>
      </c>
      <c r="AB66" s="55">
        <v>8.7142857142855287E-3</v>
      </c>
      <c r="AC66" s="86">
        <v>0.51724508050089446</v>
      </c>
    </row>
    <row r="67" spans="1:29" x14ac:dyDescent="0.25">
      <c r="A67" s="3">
        <v>2020</v>
      </c>
      <c r="B67" s="90"/>
      <c r="C67" s="90"/>
      <c r="D67" s="91"/>
      <c r="E67" s="92">
        <v>4.2086694762191437</v>
      </c>
      <c r="F67" s="92">
        <v>5.4345454545454555</v>
      </c>
      <c r="G67" s="93">
        <v>4.7892561983471076</v>
      </c>
      <c r="H67" s="90"/>
      <c r="I67" s="90"/>
      <c r="J67" s="91"/>
      <c r="K67" s="90"/>
      <c r="L67" s="90"/>
      <c r="M67" s="91"/>
      <c r="N67" s="54">
        <v>1.596875</v>
      </c>
      <c r="O67" s="53">
        <v>0.31024999999999986</v>
      </c>
      <c r="P67" s="53">
        <v>0.10037499999999948</v>
      </c>
      <c r="Q67" s="71">
        <v>1.0493750000000004</v>
      </c>
      <c r="R67" s="54">
        <v>1.1735238095238156</v>
      </c>
      <c r="S67" s="54">
        <v>1.4639999999999977</v>
      </c>
      <c r="T67" s="72"/>
      <c r="U67" s="67"/>
      <c r="V67" s="55">
        <v>8.2115384615384951E-2</v>
      </c>
      <c r="W67" s="72">
        <v>0.15249999999999883</v>
      </c>
      <c r="X67" s="55">
        <v>2.3333333333333334E-2</v>
      </c>
      <c r="Y67" s="55">
        <v>0</v>
      </c>
      <c r="Z67" s="79"/>
      <c r="AA67" s="52"/>
      <c r="AB67" s="52"/>
      <c r="AC67" s="73"/>
    </row>
    <row r="68" spans="1:29" x14ac:dyDescent="0.25">
      <c r="A68" s="3">
        <v>2021</v>
      </c>
      <c r="B68" s="92">
        <v>8.8484848484848477</v>
      </c>
      <c r="C68" s="92">
        <v>3.8290764790764844</v>
      </c>
      <c r="D68" s="95">
        <v>0.77950937950938159</v>
      </c>
      <c r="E68" s="90"/>
      <c r="F68" s="90"/>
      <c r="G68" s="91"/>
      <c r="H68" s="90"/>
      <c r="I68" s="92">
        <v>2.6696361690743715</v>
      </c>
      <c r="J68" s="93">
        <v>2.784858212948099</v>
      </c>
      <c r="K68" s="92">
        <v>1.8381673881673894</v>
      </c>
      <c r="L68" s="94">
        <v>0.75844155844156091</v>
      </c>
      <c r="M68" s="93">
        <v>1.1745310245310265</v>
      </c>
      <c r="N68" s="55"/>
      <c r="O68" s="55"/>
      <c r="P68" s="55"/>
      <c r="Q68" s="72"/>
      <c r="R68" s="55"/>
      <c r="S68" s="55"/>
      <c r="T68" s="72"/>
      <c r="U68" s="67"/>
      <c r="V68" s="55"/>
      <c r="W68" s="72"/>
      <c r="X68" s="55"/>
      <c r="Y68" s="55"/>
      <c r="Z68" s="79"/>
      <c r="AA68" s="52"/>
      <c r="AB68" s="55">
        <v>0.10895522388059685</v>
      </c>
      <c r="AC68" s="86">
        <v>0.30870646766169157</v>
      </c>
    </row>
    <row r="69" spans="1:29" x14ac:dyDescent="0.25">
      <c r="A69" s="3">
        <v>2022</v>
      </c>
      <c r="B69" s="94"/>
      <c r="C69" s="94"/>
      <c r="D69" s="95"/>
      <c r="E69" s="90"/>
      <c r="F69" s="90"/>
      <c r="G69" s="91"/>
      <c r="H69" s="90"/>
      <c r="I69" s="92">
        <v>2.406941431670282</v>
      </c>
      <c r="J69" s="97">
        <v>1.6151843817787419</v>
      </c>
      <c r="K69" s="94">
        <v>8.3801020408163271E-2</v>
      </c>
      <c r="L69" s="99">
        <v>3.2868622448979585</v>
      </c>
      <c r="M69" s="97">
        <v>0.71696428571428572</v>
      </c>
      <c r="N69" s="55">
        <v>0.64651094890510952</v>
      </c>
      <c r="O69" s="53"/>
      <c r="P69" s="53">
        <v>0.2350948905109489</v>
      </c>
      <c r="Q69" s="71">
        <v>1.0258686131386863</v>
      </c>
      <c r="R69" s="55">
        <v>0.86152234636871516</v>
      </c>
      <c r="S69" s="55">
        <v>0.49958100558659219</v>
      </c>
      <c r="T69" s="72">
        <v>2.0391061452513966E-2</v>
      </c>
      <c r="U69" s="62"/>
      <c r="V69" s="63"/>
      <c r="W69" s="79"/>
      <c r="X69" s="63"/>
      <c r="Y69" s="63"/>
      <c r="Z69" s="79"/>
      <c r="AA69" s="3"/>
      <c r="AB69" s="3"/>
      <c r="AC69" s="69"/>
    </row>
    <row r="70" spans="1:29" x14ac:dyDescent="0.25">
      <c r="A70" s="3">
        <v>2023</v>
      </c>
      <c r="B70" s="92">
        <v>5.732263401720715</v>
      </c>
      <c r="C70" s="94">
        <v>0.73624694376528121</v>
      </c>
      <c r="D70" s="95">
        <v>0.63808068459657696</v>
      </c>
      <c r="E70" s="92">
        <v>3.83</v>
      </c>
      <c r="F70" s="92">
        <v>3.7011204481792714</v>
      </c>
      <c r="G70" s="93">
        <v>2.6378151260504201</v>
      </c>
      <c r="H70" s="90"/>
      <c r="I70" s="90"/>
      <c r="J70" s="91"/>
      <c r="K70" s="90"/>
      <c r="L70" s="90"/>
      <c r="M70" s="91"/>
      <c r="N70" s="52"/>
      <c r="O70" s="52"/>
      <c r="P70" s="52"/>
      <c r="Q70" s="73"/>
      <c r="R70" s="55">
        <v>0.66010638297872348</v>
      </c>
      <c r="S70" s="55">
        <v>0.99015957446808511</v>
      </c>
      <c r="T70" s="72">
        <v>0.31063829787234043</v>
      </c>
      <c r="U70" s="62"/>
      <c r="V70" s="55">
        <v>6.0164835164835166E-2</v>
      </c>
      <c r="W70" s="72">
        <v>0.23359999999999997</v>
      </c>
      <c r="X70" s="55">
        <v>0</v>
      </c>
      <c r="Y70" s="55">
        <v>7.2898351648351636E-2</v>
      </c>
      <c r="Z70" s="83">
        <v>0.18638888888888888</v>
      </c>
      <c r="AA70" s="3"/>
      <c r="AB70" s="3"/>
      <c r="AC70" s="69"/>
    </row>
    <row r="71" spans="1:29" x14ac:dyDescent="0.25">
      <c r="A71" s="3">
        <v>2024</v>
      </c>
      <c r="B71" s="90"/>
      <c r="C71" s="90"/>
      <c r="D71" s="91"/>
      <c r="E71" s="92">
        <v>2.683184523809524</v>
      </c>
      <c r="F71" s="94">
        <v>1.3796130952380952</v>
      </c>
      <c r="G71" s="93">
        <v>3.7369047619047615</v>
      </c>
      <c r="H71" s="90"/>
      <c r="I71" s="94">
        <v>1.2807153965785381</v>
      </c>
      <c r="J71" s="93">
        <v>2.7094245723172627</v>
      </c>
      <c r="K71" s="90"/>
      <c r="L71" s="90"/>
      <c r="M71" s="69"/>
      <c r="Q71" s="68"/>
      <c r="T71" s="68"/>
      <c r="U71" s="62"/>
      <c r="V71" s="63"/>
      <c r="W71" s="79"/>
      <c r="X71" s="56"/>
      <c r="Y71" s="56"/>
      <c r="Z71" s="75"/>
      <c r="AA71" s="55">
        <v>2.3137931034482757E-2</v>
      </c>
      <c r="AB71" s="55">
        <v>3.5408970976253298E-2</v>
      </c>
      <c r="AC71" s="72">
        <v>0.13364509929532351</v>
      </c>
    </row>
    <row r="72" spans="1:29" x14ac:dyDescent="0.25">
      <c r="A72" s="3">
        <v>2025</v>
      </c>
      <c r="E72" s="112">
        <v>3.63</v>
      </c>
      <c r="F72" s="112">
        <v>4.83</v>
      </c>
      <c r="G72" s="111">
        <v>5.0599999999999996</v>
      </c>
    </row>
    <row r="73" spans="1:29" x14ac:dyDescent="0.25">
      <c r="U73" t="s">
        <v>8</v>
      </c>
      <c r="Z73" t="s">
        <v>18</v>
      </c>
    </row>
    <row r="74" spans="1:29" x14ac:dyDescent="0.25">
      <c r="U74" t="s">
        <v>41</v>
      </c>
      <c r="Z74" t="s">
        <v>43</v>
      </c>
    </row>
    <row r="75" spans="1:29" x14ac:dyDescent="0.25">
      <c r="C75" s="3" t="s">
        <v>38</v>
      </c>
      <c r="U75" t="s">
        <v>42</v>
      </c>
    </row>
    <row r="76" spans="1:29" x14ac:dyDescent="0.25">
      <c r="C76" t="s">
        <v>39</v>
      </c>
    </row>
    <row r="77" spans="1:29" x14ac:dyDescent="0.25">
      <c r="C77" t="s">
        <v>40</v>
      </c>
    </row>
    <row r="79" spans="1:29" x14ac:dyDescent="0.25">
      <c r="C79" s="3" t="s">
        <v>45</v>
      </c>
      <c r="D79" s="3" t="s">
        <v>46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Нижний Ураков</vt:lpstr>
      <vt:lpstr>Нижний Балыклей</vt:lpstr>
      <vt:lpstr>Бережновка</vt:lpstr>
      <vt:lpstr>Бурты</vt:lpstr>
      <vt:lpstr>Пролейский</vt:lpstr>
      <vt:lpstr>Молчановка</vt:lpstr>
      <vt:lpstr>Пичуга-Южный</vt:lpstr>
      <vt:lpstr>Ураков Бугор</vt:lpstr>
      <vt:lpstr>Новоникольское</vt:lpstr>
      <vt:lpstr>Сводная</vt:lpstr>
      <vt:lpstr>Сводная (2)</vt:lpstr>
      <vt:lpstr>Сводная периоды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2025-12-29T09:27:30Z</dcterms:modified>
</cp:coreProperties>
</file>