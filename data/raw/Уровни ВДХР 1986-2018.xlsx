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65" windowWidth="15120" windowHeight="7950" activeTab="1"/>
  </bookViews>
  <sheets>
    <sheet name="Массив данных" sheetId="1" r:id="rId1"/>
    <sheet name="Данные по участкам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H39" i="2" l="1"/>
  <c r="G39" i="2"/>
  <c r="L83" i="1" l="1"/>
  <c r="K83" i="1"/>
  <c r="J83" i="1"/>
  <c r="I83" i="1"/>
  <c r="H83" i="1"/>
  <c r="G83" i="1"/>
  <c r="F83" i="1"/>
  <c r="E83" i="1"/>
  <c r="D83" i="1"/>
  <c r="C83" i="1"/>
  <c r="L82" i="1"/>
  <c r="K82" i="1"/>
  <c r="J82" i="1"/>
  <c r="I82" i="1"/>
  <c r="H82" i="1"/>
  <c r="G82" i="1"/>
  <c r="F82" i="1"/>
  <c r="E82" i="1"/>
  <c r="D82" i="1"/>
  <c r="C82" i="1"/>
  <c r="L81" i="1"/>
  <c r="K81" i="1"/>
  <c r="J81" i="1"/>
  <c r="I81" i="1"/>
  <c r="H81" i="1"/>
  <c r="G81" i="1"/>
  <c r="F81" i="1"/>
  <c r="E81" i="1"/>
  <c r="D81" i="1"/>
  <c r="C81" i="1"/>
  <c r="L80" i="1"/>
  <c r="K80" i="1"/>
  <c r="J80" i="1"/>
  <c r="I80" i="1"/>
  <c r="H80" i="1"/>
  <c r="G80" i="1"/>
  <c r="F80" i="1"/>
  <c r="E80" i="1"/>
  <c r="D80" i="1"/>
  <c r="C80" i="1"/>
  <c r="L79" i="1"/>
  <c r="K79" i="1"/>
  <c r="J79" i="1"/>
  <c r="I79" i="1"/>
  <c r="H79" i="1"/>
  <c r="G79" i="1"/>
  <c r="F79" i="1"/>
  <c r="E79" i="1"/>
  <c r="D79" i="1"/>
  <c r="C79" i="1"/>
  <c r="L78" i="1"/>
  <c r="K78" i="1"/>
  <c r="J78" i="1"/>
  <c r="I78" i="1"/>
  <c r="H78" i="1"/>
  <c r="G78" i="1"/>
  <c r="F78" i="1"/>
  <c r="E78" i="1"/>
  <c r="D78" i="1"/>
  <c r="C78" i="1"/>
  <c r="L77" i="1"/>
  <c r="K77" i="1"/>
  <c r="J77" i="1"/>
  <c r="I77" i="1"/>
  <c r="H77" i="1"/>
  <c r="G77" i="1"/>
  <c r="F77" i="1"/>
  <c r="E77" i="1"/>
  <c r="D77" i="1"/>
  <c r="C77" i="1"/>
  <c r="L76" i="1"/>
  <c r="K76" i="1"/>
  <c r="J76" i="1"/>
  <c r="I76" i="1"/>
  <c r="H76" i="1"/>
  <c r="G76" i="1"/>
  <c r="F76" i="1"/>
  <c r="E76" i="1"/>
  <c r="D76" i="1"/>
  <c r="C76" i="1"/>
  <c r="L75" i="1"/>
  <c r="K75" i="1"/>
  <c r="J75" i="1"/>
  <c r="I75" i="1"/>
  <c r="H75" i="1"/>
  <c r="G75" i="1"/>
  <c r="F75" i="1"/>
  <c r="E75" i="1"/>
  <c r="D75" i="1"/>
  <c r="C75" i="1"/>
  <c r="L74" i="1"/>
  <c r="K74" i="1"/>
  <c r="J74" i="1"/>
  <c r="I74" i="1"/>
  <c r="H74" i="1"/>
  <c r="G74" i="1"/>
  <c r="F74" i="1"/>
  <c r="E74" i="1"/>
  <c r="D74" i="1"/>
  <c r="C74" i="1"/>
  <c r="L73" i="1"/>
  <c r="K73" i="1"/>
  <c r="J73" i="1"/>
  <c r="I73" i="1"/>
  <c r="H73" i="1"/>
  <c r="G73" i="1"/>
  <c r="F73" i="1"/>
  <c r="E73" i="1"/>
  <c r="D73" i="1"/>
  <c r="C73" i="1"/>
  <c r="L72" i="1"/>
  <c r="K72" i="1"/>
  <c r="J72" i="1"/>
  <c r="I72" i="1"/>
  <c r="H72" i="1"/>
  <c r="G72" i="1"/>
  <c r="F72" i="1"/>
  <c r="E72" i="1"/>
  <c r="D72" i="1"/>
  <c r="C72" i="1"/>
  <c r="L71" i="1"/>
  <c r="K71" i="1"/>
  <c r="J71" i="1"/>
  <c r="I71" i="1"/>
  <c r="H71" i="1"/>
  <c r="G71" i="1"/>
  <c r="F71" i="1"/>
  <c r="E71" i="1"/>
  <c r="D71" i="1"/>
  <c r="C71" i="1"/>
  <c r="L70" i="1"/>
  <c r="K70" i="1"/>
  <c r="J70" i="1"/>
  <c r="I70" i="1"/>
  <c r="H70" i="1"/>
  <c r="G70" i="1"/>
  <c r="F70" i="1"/>
  <c r="E70" i="1"/>
  <c r="D70" i="1"/>
  <c r="C70" i="1"/>
  <c r="L69" i="1"/>
  <c r="K69" i="1"/>
  <c r="J69" i="1"/>
  <c r="I69" i="1"/>
  <c r="H69" i="1"/>
  <c r="G69" i="1"/>
  <c r="F69" i="1"/>
  <c r="E69" i="1"/>
  <c r="D69" i="1"/>
  <c r="C69" i="1"/>
  <c r="L68" i="1"/>
  <c r="K68" i="1"/>
  <c r="J68" i="1"/>
  <c r="I68" i="1"/>
  <c r="H68" i="1"/>
  <c r="G68" i="1"/>
  <c r="F68" i="1"/>
  <c r="E68" i="1"/>
  <c r="D68" i="1"/>
  <c r="C68" i="1"/>
  <c r="L67" i="1"/>
  <c r="K67" i="1"/>
  <c r="J67" i="1"/>
  <c r="I67" i="1"/>
  <c r="H67" i="1"/>
  <c r="G67" i="1"/>
  <c r="F67" i="1"/>
  <c r="E67" i="1"/>
  <c r="D67" i="1"/>
  <c r="C67" i="1"/>
  <c r="L66" i="1"/>
  <c r="K66" i="1"/>
  <c r="J66" i="1"/>
  <c r="I66" i="1"/>
  <c r="H66" i="1"/>
  <c r="G66" i="1"/>
  <c r="F66" i="1"/>
  <c r="E66" i="1"/>
  <c r="D66" i="1"/>
  <c r="C66" i="1"/>
  <c r="L65" i="1"/>
  <c r="K65" i="1"/>
  <c r="J65" i="1"/>
  <c r="I65" i="1"/>
  <c r="H65" i="1"/>
  <c r="G65" i="1"/>
  <c r="F65" i="1"/>
  <c r="E65" i="1"/>
  <c r="D65" i="1"/>
  <c r="C65" i="1"/>
  <c r="L64" i="1"/>
  <c r="K64" i="1"/>
  <c r="J64" i="1"/>
  <c r="I64" i="1"/>
  <c r="H64" i="1"/>
  <c r="G64" i="1"/>
  <c r="F64" i="1"/>
  <c r="E64" i="1"/>
  <c r="D64" i="1"/>
  <c r="C64" i="1"/>
  <c r="L63" i="1"/>
  <c r="K63" i="1"/>
  <c r="J63" i="1"/>
  <c r="I63" i="1"/>
  <c r="H63" i="1"/>
  <c r="G63" i="1"/>
  <c r="F63" i="1"/>
  <c r="E63" i="1"/>
  <c r="D63" i="1"/>
  <c r="C63" i="1"/>
  <c r="L62" i="1"/>
  <c r="K62" i="1"/>
  <c r="J62" i="1"/>
  <c r="I62" i="1"/>
  <c r="H62" i="1"/>
  <c r="G62" i="1"/>
  <c r="F62" i="1"/>
  <c r="E62" i="1"/>
  <c r="D62" i="1"/>
  <c r="C62" i="1"/>
  <c r="L61" i="1"/>
  <c r="K61" i="1"/>
  <c r="J61" i="1"/>
  <c r="I61" i="1"/>
  <c r="H61" i="1"/>
  <c r="G61" i="1"/>
  <c r="F61" i="1"/>
  <c r="E61" i="1"/>
  <c r="D61" i="1"/>
  <c r="C61" i="1"/>
  <c r="L60" i="1"/>
  <c r="K60" i="1"/>
  <c r="J60" i="1"/>
  <c r="I60" i="1"/>
  <c r="H60" i="1"/>
  <c r="G60" i="1"/>
  <c r="F60" i="1"/>
  <c r="E60" i="1"/>
  <c r="D60" i="1"/>
  <c r="C60" i="1"/>
  <c r="L59" i="1"/>
  <c r="K59" i="1"/>
  <c r="J59" i="1"/>
  <c r="I59" i="1"/>
  <c r="H59" i="1"/>
  <c r="G59" i="1"/>
  <c r="F59" i="1"/>
  <c r="E59" i="1"/>
  <c r="D59" i="1"/>
  <c r="C59" i="1"/>
  <c r="L58" i="1"/>
  <c r="K58" i="1"/>
  <c r="J58" i="1"/>
  <c r="I58" i="1"/>
  <c r="H58" i="1"/>
  <c r="G58" i="1"/>
  <c r="F58" i="1"/>
  <c r="E58" i="1"/>
  <c r="D58" i="1"/>
  <c r="C58" i="1"/>
  <c r="L57" i="1"/>
  <c r="K57" i="1"/>
  <c r="J57" i="1"/>
  <c r="I57" i="1"/>
  <c r="H57" i="1"/>
  <c r="G57" i="1"/>
  <c r="F57" i="1"/>
  <c r="E57" i="1"/>
  <c r="D57" i="1"/>
  <c r="C57" i="1"/>
  <c r="L56" i="1"/>
  <c r="K56" i="1"/>
  <c r="J56" i="1"/>
  <c r="I56" i="1"/>
  <c r="H56" i="1"/>
  <c r="G56" i="1"/>
  <c r="F56" i="1"/>
  <c r="E56" i="1"/>
  <c r="D56" i="1"/>
  <c r="C56" i="1"/>
  <c r="L55" i="1"/>
  <c r="K55" i="1"/>
  <c r="J55" i="1"/>
  <c r="I55" i="1"/>
  <c r="H55" i="1"/>
  <c r="G55" i="1"/>
  <c r="F55" i="1"/>
  <c r="E55" i="1"/>
  <c r="D55" i="1"/>
  <c r="C55" i="1"/>
  <c r="L54" i="1"/>
  <c r="K54" i="1"/>
  <c r="J54" i="1"/>
  <c r="I54" i="1"/>
  <c r="H54" i="1"/>
  <c r="G54" i="1"/>
  <c r="F54" i="1"/>
  <c r="E54" i="1"/>
  <c r="D54" i="1"/>
  <c r="C54" i="1"/>
  <c r="L53" i="1"/>
  <c r="K53" i="1"/>
  <c r="J53" i="1"/>
  <c r="I53" i="1"/>
  <c r="H53" i="1"/>
  <c r="G53" i="1"/>
  <c r="F53" i="1"/>
  <c r="E53" i="1"/>
  <c r="D53" i="1"/>
  <c r="C53" i="1"/>
  <c r="L52" i="1"/>
  <c r="K52" i="1"/>
  <c r="J52" i="1"/>
  <c r="I52" i="1"/>
  <c r="H52" i="1"/>
  <c r="G52" i="1"/>
  <c r="F52" i="1"/>
  <c r="E52" i="1"/>
  <c r="D52" i="1"/>
  <c r="C52" i="1"/>
  <c r="L51" i="1"/>
  <c r="K51" i="1"/>
  <c r="J51" i="1"/>
  <c r="I51" i="1"/>
  <c r="H51" i="1"/>
  <c r="G51" i="1"/>
  <c r="F51" i="1"/>
  <c r="E51" i="1"/>
  <c r="D51" i="1"/>
  <c r="C51" i="1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D6" i="2"/>
  <c r="E6" i="2"/>
  <c r="C6" i="2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9" i="1"/>
  <c r="C87" i="1"/>
  <c r="R85" i="1"/>
  <c r="N85" i="1"/>
  <c r="J85" i="1"/>
  <c r="F85" i="1"/>
  <c r="R83" i="1"/>
  <c r="Q83" i="1"/>
  <c r="G38" i="2" s="1"/>
  <c r="P83" i="1"/>
  <c r="O83" i="1"/>
  <c r="N83" i="1"/>
  <c r="H38" i="2" s="1"/>
  <c r="M83" i="1"/>
  <c r="R82" i="1"/>
  <c r="Q82" i="1"/>
  <c r="G37" i="2" s="1"/>
  <c r="P82" i="1"/>
  <c r="O82" i="1"/>
  <c r="N82" i="1"/>
  <c r="H37" i="2" s="1"/>
  <c r="M82" i="1"/>
  <c r="R81" i="1"/>
  <c r="Q81" i="1"/>
  <c r="G36" i="2" s="1"/>
  <c r="P81" i="1"/>
  <c r="O81" i="1"/>
  <c r="N81" i="1"/>
  <c r="H36" i="2" s="1"/>
  <c r="M81" i="1"/>
  <c r="R80" i="1"/>
  <c r="Q80" i="1"/>
  <c r="G35" i="2" s="1"/>
  <c r="P80" i="1"/>
  <c r="O80" i="1"/>
  <c r="N80" i="1"/>
  <c r="H35" i="2" s="1"/>
  <c r="M80" i="1"/>
  <c r="R79" i="1"/>
  <c r="Q79" i="1"/>
  <c r="G34" i="2" s="1"/>
  <c r="P79" i="1"/>
  <c r="O79" i="1"/>
  <c r="N79" i="1"/>
  <c r="H34" i="2" s="1"/>
  <c r="M79" i="1"/>
  <c r="R78" i="1"/>
  <c r="Q78" i="1"/>
  <c r="G33" i="2" s="1"/>
  <c r="P78" i="1"/>
  <c r="O78" i="1"/>
  <c r="N78" i="1"/>
  <c r="H33" i="2" s="1"/>
  <c r="M78" i="1"/>
  <c r="R77" i="1"/>
  <c r="Q77" i="1"/>
  <c r="G32" i="2" s="1"/>
  <c r="P77" i="1"/>
  <c r="O77" i="1"/>
  <c r="N77" i="1"/>
  <c r="H32" i="2" s="1"/>
  <c r="M77" i="1"/>
  <c r="R76" i="1"/>
  <c r="Q76" i="1"/>
  <c r="G31" i="2" s="1"/>
  <c r="P76" i="1"/>
  <c r="O76" i="1"/>
  <c r="N76" i="1"/>
  <c r="H31" i="2" s="1"/>
  <c r="M76" i="1"/>
  <c r="R75" i="1"/>
  <c r="Q75" i="1"/>
  <c r="G30" i="2" s="1"/>
  <c r="P75" i="1"/>
  <c r="O75" i="1"/>
  <c r="N75" i="1"/>
  <c r="H30" i="2" s="1"/>
  <c r="M75" i="1"/>
  <c r="R74" i="1"/>
  <c r="Q74" i="1"/>
  <c r="G29" i="2" s="1"/>
  <c r="P74" i="1"/>
  <c r="O74" i="1"/>
  <c r="N74" i="1"/>
  <c r="H29" i="2" s="1"/>
  <c r="M74" i="1"/>
  <c r="R73" i="1"/>
  <c r="Q73" i="1"/>
  <c r="G28" i="2" s="1"/>
  <c r="P73" i="1"/>
  <c r="O73" i="1"/>
  <c r="N73" i="1"/>
  <c r="H28" i="2" s="1"/>
  <c r="M73" i="1"/>
  <c r="R72" i="1"/>
  <c r="Q72" i="1"/>
  <c r="G27" i="2" s="1"/>
  <c r="P72" i="1"/>
  <c r="O72" i="1"/>
  <c r="N72" i="1"/>
  <c r="H27" i="2" s="1"/>
  <c r="M72" i="1"/>
  <c r="R71" i="1"/>
  <c r="Q71" i="1"/>
  <c r="G26" i="2" s="1"/>
  <c r="P71" i="1"/>
  <c r="O71" i="1"/>
  <c r="N71" i="1"/>
  <c r="H26" i="2" s="1"/>
  <c r="M71" i="1"/>
  <c r="R70" i="1"/>
  <c r="Q70" i="1"/>
  <c r="G25" i="2" s="1"/>
  <c r="P70" i="1"/>
  <c r="O70" i="1"/>
  <c r="N70" i="1"/>
  <c r="H25" i="2" s="1"/>
  <c r="M70" i="1"/>
  <c r="R69" i="1"/>
  <c r="Q69" i="1"/>
  <c r="G24" i="2" s="1"/>
  <c r="P69" i="1"/>
  <c r="O69" i="1"/>
  <c r="N69" i="1"/>
  <c r="H24" i="2" s="1"/>
  <c r="M69" i="1"/>
  <c r="R68" i="1"/>
  <c r="Q68" i="1"/>
  <c r="G23" i="2" s="1"/>
  <c r="P68" i="1"/>
  <c r="O68" i="1"/>
  <c r="N68" i="1"/>
  <c r="H23" i="2" s="1"/>
  <c r="M68" i="1"/>
  <c r="R67" i="1"/>
  <c r="Q67" i="1"/>
  <c r="G22" i="2" s="1"/>
  <c r="P67" i="1"/>
  <c r="O67" i="1"/>
  <c r="N67" i="1"/>
  <c r="H22" i="2" s="1"/>
  <c r="M67" i="1"/>
  <c r="R66" i="1"/>
  <c r="Q66" i="1"/>
  <c r="G21" i="2" s="1"/>
  <c r="P66" i="1"/>
  <c r="O66" i="1"/>
  <c r="N66" i="1"/>
  <c r="H21" i="2" s="1"/>
  <c r="M66" i="1"/>
  <c r="R65" i="1"/>
  <c r="Q65" i="1"/>
  <c r="G20" i="2" s="1"/>
  <c r="P65" i="1"/>
  <c r="O65" i="1"/>
  <c r="N65" i="1"/>
  <c r="H20" i="2" s="1"/>
  <c r="M65" i="1"/>
  <c r="R64" i="1"/>
  <c r="Q64" i="1"/>
  <c r="G19" i="2" s="1"/>
  <c r="P64" i="1"/>
  <c r="O64" i="1"/>
  <c r="N64" i="1"/>
  <c r="H19" i="2" s="1"/>
  <c r="M64" i="1"/>
  <c r="R63" i="1"/>
  <c r="Q63" i="1"/>
  <c r="G18" i="2" s="1"/>
  <c r="P63" i="1"/>
  <c r="O63" i="1"/>
  <c r="N63" i="1"/>
  <c r="H18" i="2" s="1"/>
  <c r="M63" i="1"/>
  <c r="R62" i="1"/>
  <c r="Q62" i="1"/>
  <c r="G17" i="2" s="1"/>
  <c r="P62" i="1"/>
  <c r="O62" i="1"/>
  <c r="N62" i="1"/>
  <c r="H17" i="2" s="1"/>
  <c r="M62" i="1"/>
  <c r="R61" i="1"/>
  <c r="Q61" i="1"/>
  <c r="G16" i="2" s="1"/>
  <c r="P61" i="1"/>
  <c r="O61" i="1"/>
  <c r="N61" i="1"/>
  <c r="H16" i="2" s="1"/>
  <c r="M61" i="1"/>
  <c r="R60" i="1"/>
  <c r="Q60" i="1"/>
  <c r="G15" i="2" s="1"/>
  <c r="P60" i="1"/>
  <c r="O60" i="1"/>
  <c r="N60" i="1"/>
  <c r="H15" i="2" s="1"/>
  <c r="M60" i="1"/>
  <c r="R59" i="1"/>
  <c r="Q59" i="1"/>
  <c r="G14" i="2" s="1"/>
  <c r="P59" i="1"/>
  <c r="O59" i="1"/>
  <c r="N59" i="1"/>
  <c r="H14" i="2" s="1"/>
  <c r="M59" i="1"/>
  <c r="R58" i="1"/>
  <c r="Q58" i="1"/>
  <c r="G13" i="2" s="1"/>
  <c r="P58" i="1"/>
  <c r="O58" i="1"/>
  <c r="N58" i="1"/>
  <c r="H13" i="2" s="1"/>
  <c r="M58" i="1"/>
  <c r="R57" i="1"/>
  <c r="Q57" i="1"/>
  <c r="G12" i="2" s="1"/>
  <c r="P57" i="1"/>
  <c r="O57" i="1"/>
  <c r="N57" i="1"/>
  <c r="H12" i="2" s="1"/>
  <c r="M57" i="1"/>
  <c r="R56" i="1"/>
  <c r="Q56" i="1"/>
  <c r="G11" i="2" s="1"/>
  <c r="P56" i="1"/>
  <c r="O56" i="1"/>
  <c r="N56" i="1"/>
  <c r="H11" i="2" s="1"/>
  <c r="M56" i="1"/>
  <c r="R55" i="1"/>
  <c r="Q55" i="1"/>
  <c r="G10" i="2" s="1"/>
  <c r="P55" i="1"/>
  <c r="O55" i="1"/>
  <c r="N55" i="1"/>
  <c r="H10" i="2" s="1"/>
  <c r="M55" i="1"/>
  <c r="R54" i="1"/>
  <c r="Q54" i="1"/>
  <c r="G9" i="2" s="1"/>
  <c r="P54" i="1"/>
  <c r="O54" i="1"/>
  <c r="N54" i="1"/>
  <c r="H9" i="2" s="1"/>
  <c r="M54" i="1"/>
  <c r="R53" i="1"/>
  <c r="Q53" i="1"/>
  <c r="G8" i="2" s="1"/>
  <c r="P53" i="1"/>
  <c r="O53" i="1"/>
  <c r="N53" i="1"/>
  <c r="H8" i="2" s="1"/>
  <c r="M53" i="1"/>
  <c r="R52" i="1"/>
  <c r="Q52" i="1"/>
  <c r="G7" i="2" s="1"/>
  <c r="P52" i="1"/>
  <c r="O52" i="1"/>
  <c r="N52" i="1"/>
  <c r="H7" i="2" s="1"/>
  <c r="M52" i="1"/>
  <c r="R51" i="1"/>
  <c r="Q51" i="1"/>
  <c r="G6" i="2" s="1"/>
  <c r="P51" i="1"/>
  <c r="O51" i="1"/>
  <c r="N51" i="1"/>
  <c r="H6" i="2" s="1"/>
  <c r="M51" i="1"/>
  <c r="A53" i="1"/>
  <c r="B51" i="1"/>
  <c r="A51" i="1"/>
  <c r="R43" i="1"/>
  <c r="R88" i="1" s="1"/>
  <c r="Q43" i="1"/>
  <c r="Q88" i="1" s="1"/>
  <c r="P43" i="1"/>
  <c r="P88" i="1" s="1"/>
  <c r="O43" i="1"/>
  <c r="O88" i="1" s="1"/>
  <c r="N43" i="1"/>
  <c r="N88" i="1" s="1"/>
  <c r="M43" i="1"/>
  <c r="M88" i="1" s="1"/>
  <c r="L43" i="1"/>
  <c r="L88" i="1" s="1"/>
  <c r="K43" i="1"/>
  <c r="K88" i="1" s="1"/>
  <c r="J43" i="1"/>
  <c r="J88" i="1" s="1"/>
  <c r="I43" i="1"/>
  <c r="I88" i="1" s="1"/>
  <c r="H43" i="1"/>
  <c r="H88" i="1" s="1"/>
  <c r="G43" i="1"/>
  <c r="G88" i="1" s="1"/>
  <c r="F43" i="1"/>
  <c r="F88" i="1" s="1"/>
  <c r="E43" i="1"/>
  <c r="E88" i="1" s="1"/>
  <c r="D43" i="1"/>
  <c r="D88" i="1" s="1"/>
  <c r="C43" i="1"/>
  <c r="C88" i="1" s="1"/>
  <c r="R41" i="1"/>
  <c r="R86" i="1" s="1"/>
  <c r="Q41" i="1"/>
  <c r="Q86" i="1" s="1"/>
  <c r="P41" i="1"/>
  <c r="P86" i="1" s="1"/>
  <c r="O41" i="1"/>
  <c r="O86" i="1" s="1"/>
  <c r="N41" i="1"/>
  <c r="N86" i="1" s="1"/>
  <c r="M41" i="1"/>
  <c r="M86" i="1" s="1"/>
  <c r="L41" i="1"/>
  <c r="L86" i="1" s="1"/>
  <c r="K41" i="1"/>
  <c r="K86" i="1" s="1"/>
  <c r="J41" i="1"/>
  <c r="J86" i="1" s="1"/>
  <c r="I41" i="1"/>
  <c r="I86" i="1" s="1"/>
  <c r="H41" i="1"/>
  <c r="H86" i="1" s="1"/>
  <c r="G41" i="1"/>
  <c r="G86" i="1" s="1"/>
  <c r="F41" i="1"/>
  <c r="F86" i="1" s="1"/>
  <c r="E41" i="1"/>
  <c r="E86" i="1" s="1"/>
  <c r="D41" i="1"/>
  <c r="D86" i="1" s="1"/>
  <c r="C41" i="1"/>
  <c r="C86" i="1" s="1"/>
  <c r="R40" i="1"/>
  <c r="Q40" i="1"/>
  <c r="Q85" i="1" s="1"/>
  <c r="P40" i="1"/>
  <c r="P85" i="1" s="1"/>
  <c r="O40" i="1"/>
  <c r="O85" i="1" s="1"/>
  <c r="N40" i="1"/>
  <c r="M40" i="1"/>
  <c r="M85" i="1" s="1"/>
  <c r="L40" i="1"/>
  <c r="L85" i="1" s="1"/>
  <c r="K40" i="1"/>
  <c r="K85" i="1" s="1"/>
  <c r="J40" i="1"/>
  <c r="I40" i="1"/>
  <c r="I85" i="1" s="1"/>
  <c r="H40" i="1"/>
  <c r="H85" i="1" s="1"/>
  <c r="G40" i="1"/>
  <c r="G85" i="1" s="1"/>
  <c r="F40" i="1"/>
  <c r="E40" i="1"/>
  <c r="E85" i="1" s="1"/>
  <c r="D40" i="1"/>
  <c r="D85" i="1" s="1"/>
  <c r="C40" i="1"/>
  <c r="C85" i="1" s="1"/>
  <c r="A8" i="1"/>
  <c r="A9" i="1" s="1"/>
  <c r="A7" i="1"/>
  <c r="A52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83" i="1" s="1"/>
  <c r="B7" i="1"/>
  <c r="B52" i="1" s="1"/>
  <c r="A10" i="1" l="1"/>
  <c r="A54" i="1"/>
  <c r="B53" i="1"/>
  <c r="B55" i="1"/>
  <c r="B57" i="1"/>
  <c r="B59" i="1"/>
  <c r="B61" i="1"/>
  <c r="B63" i="1"/>
  <c r="B65" i="1"/>
  <c r="B67" i="1"/>
  <c r="B69" i="1"/>
  <c r="B71" i="1"/>
  <c r="B73" i="1"/>
  <c r="B75" i="1"/>
  <c r="B77" i="1"/>
  <c r="B79" i="1"/>
  <c r="B81" i="1"/>
  <c r="B54" i="1"/>
  <c r="B56" i="1"/>
  <c r="B58" i="1"/>
  <c r="B60" i="1"/>
  <c r="B62" i="1"/>
  <c r="B64" i="1"/>
  <c r="B66" i="1"/>
  <c r="B68" i="1"/>
  <c r="B70" i="1"/>
  <c r="B72" i="1"/>
  <c r="B74" i="1"/>
  <c r="B76" i="1"/>
  <c r="B78" i="1"/>
  <c r="B80" i="1"/>
  <c r="B82" i="1"/>
  <c r="A11" i="1" l="1"/>
  <c r="A55" i="1"/>
  <c r="A12" i="1" l="1"/>
  <c r="A56" i="1"/>
  <c r="A13" i="1" l="1"/>
  <c r="A57" i="1"/>
  <c r="A14" i="1" l="1"/>
  <c r="A58" i="1"/>
  <c r="A15" i="1" l="1"/>
  <c r="A59" i="1"/>
  <c r="A16" i="1" l="1"/>
  <c r="A60" i="1"/>
  <c r="A17" i="1" l="1"/>
  <c r="A61" i="1"/>
  <c r="A18" i="1" l="1"/>
  <c r="A62" i="1"/>
  <c r="A19" i="1" l="1"/>
  <c r="A63" i="1"/>
  <c r="A20" i="1" l="1"/>
  <c r="A64" i="1"/>
  <c r="A21" i="1" l="1"/>
  <c r="A65" i="1"/>
  <c r="A22" i="1" l="1"/>
  <c r="A66" i="1"/>
  <c r="A23" i="1" l="1"/>
  <c r="A67" i="1"/>
  <c r="A24" i="1" l="1"/>
  <c r="A68" i="1"/>
  <c r="A25" i="1" l="1"/>
  <c r="A69" i="1"/>
  <c r="A26" i="1" l="1"/>
  <c r="A70" i="1"/>
  <c r="A27" i="1" l="1"/>
  <c r="A71" i="1"/>
  <c r="A28" i="1" l="1"/>
  <c r="A72" i="1"/>
  <c r="A29" i="1" l="1"/>
  <c r="A73" i="1"/>
  <c r="A30" i="1" l="1"/>
  <c r="A74" i="1"/>
  <c r="A31" i="1" l="1"/>
  <c r="A75" i="1"/>
  <c r="A32" i="1" l="1"/>
  <c r="A76" i="1"/>
  <c r="A33" i="1" l="1"/>
  <c r="A77" i="1"/>
  <c r="A34" i="1" l="1"/>
  <c r="A78" i="1"/>
  <c r="A35" i="1" l="1"/>
  <c r="A79" i="1"/>
  <c r="A36" i="1" l="1"/>
  <c r="A80" i="1"/>
  <c r="A37" i="1" l="1"/>
  <c r="A81" i="1"/>
  <c r="A38" i="1" l="1"/>
  <c r="A83" i="1" s="1"/>
  <c r="A82" i="1"/>
</calcChain>
</file>

<file path=xl/sharedStrings.xml><?xml version="1.0" encoding="utf-8"?>
<sst xmlns="http://schemas.openxmlformats.org/spreadsheetml/2006/main" count="112" uniqueCount="32">
  <si>
    <t>Год</t>
  </si>
  <si>
    <t>Балаково, ГЭС, н/б</t>
  </si>
  <si>
    <t>Вольск</t>
  </si>
  <si>
    <t>Маркс</t>
  </si>
  <si>
    <t>Саратов</t>
  </si>
  <si>
    <t>Ровное</t>
  </si>
  <si>
    <t>Камышин</t>
  </si>
  <si>
    <t>Дубовка</t>
  </si>
  <si>
    <t>Волжский</t>
  </si>
  <si>
    <t>Н ср</t>
  </si>
  <si>
    <t>Н макс</t>
  </si>
  <si>
    <t>СРЕДНИЕ ГОДОВЫЕ (Н ср) И МАКСИМАЛЬНЫЕ (Н макс) УРОВНИ ВОДЫ ПО ОГП ВОЛГОГРАДСКОГО ВДХР (1986-2018), см. граф.постов</t>
  </si>
  <si>
    <t>Пор. №</t>
  </si>
  <si>
    <t>Ср.многолетн.зн.:</t>
  </si>
  <si>
    <t>Ср.многолетн.макс.:</t>
  </si>
  <si>
    <t>Год=</t>
  </si>
  <si>
    <t>Ср.многолетн.мин.:</t>
  </si>
  <si>
    <t>1989; 2010</t>
  </si>
  <si>
    <t>1986; -89</t>
  </si>
  <si>
    <t>СРЕДНИЕ ГОДОВЫЕ (Н ср) И МАКСИМАЛЬНЫЕ (Н макс) УРОВНИ ВОДЫ ПО ОГП ВОЛГОГРАДСКОГО ВДХР (1986-2018), м Абс.</t>
  </si>
  <si>
    <t>СРЕДНИЕ ГОДОВЫЕ (Н ср уч) И МАКСИМАЛЬНЫЕ (Н макс уч) УРОВНИ ВОДЫ НА УЧАСТКАХ ВОЛГОГРАДСКОГО ВДХР (1986-2018), м Абс.</t>
  </si>
  <si>
    <t>Верхний участок</t>
  </si>
  <si>
    <t>Средний участок</t>
  </si>
  <si>
    <t>Нижний участок</t>
  </si>
  <si>
    <t>Восполнение недостающих данных по аналогиям</t>
  </si>
  <si>
    <r>
      <t xml:space="preserve">С восполнением недостающих данных по аналогиям (см. Таблицу правее </t>
    </r>
    <r>
      <rPr>
        <sz val="16"/>
        <color theme="1"/>
        <rFont val="Calibri"/>
        <family val="2"/>
        <charset val="204"/>
      </rPr>
      <t>→</t>
    </r>
    <r>
      <rPr>
        <i/>
        <sz val="20.8"/>
        <color theme="1"/>
        <rFont val="Calibri"/>
        <family val="2"/>
        <charset val="204"/>
      </rPr>
      <t>)</t>
    </r>
  </si>
  <si>
    <t>ДИАГРАММЫ:</t>
  </si>
  <si>
    <t>1. Верхний (Речной) участок Волгоградского вдхр (Балаково - Маркс):</t>
  </si>
  <si>
    <t>2. Средний (Озерно-речной) участок Волгоградского вдхр (Маркс - Ровное):</t>
  </si>
  <si>
    <t>3. Нижний (Озерный) участок Волгоградского вдхр (Ровное - Волжский):</t>
  </si>
  <si>
    <t>Озерный участок</t>
  </si>
  <si>
    <t>Среднемноголетний уровень за период 1986-2018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</si>
</sst>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3" tint="0.3999755851924192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6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6"/>
      <color theme="1"/>
      <name val="Calibri"/>
      <family val="2"/>
      <charset val="204"/>
    </font>
    <font>
      <i/>
      <sz val="20.8"/>
      <color theme="1"/>
      <name val="Calibri"/>
      <family val="2"/>
      <charset val="204"/>
    </font>
    <font>
      <i/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2" fontId="4" fillId="0" borderId="0" xfId="0" applyNumberFormat="1" applyFont="1"/>
    <xf numFmtId="1" fontId="4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2" fontId="0" fillId="2" borderId="0" xfId="0" applyNumberFormat="1" applyFill="1"/>
    <xf numFmtId="0" fontId="6" fillId="0" borderId="0" xfId="0" applyFont="1"/>
    <xf numFmtId="0" fontId="7" fillId="0" borderId="0" xfId="0" applyFont="1"/>
    <xf numFmtId="2" fontId="10" fillId="0" borderId="0" xfId="0" applyNumberFormat="1" applyFont="1"/>
    <xf numFmtId="0" fontId="11" fillId="0" borderId="0" xfId="0" applyFont="1"/>
    <xf numFmtId="0" fontId="1" fillId="0" borderId="0" xfId="0" applyFont="1"/>
    <xf numFmtId="2" fontId="1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B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Средний годовой уровень на участке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участкам'!$C$6:$C$38</c:f>
              <c:numCache>
                <c:formatCode>0.00</c:formatCode>
                <c:ptCount val="33"/>
                <c:pt idx="0">
                  <c:v>16.115000000000002</c:v>
                </c:pt>
                <c:pt idx="1">
                  <c:v>16.145</c:v>
                </c:pt>
                <c:pt idx="2">
                  <c:v>15.844999999999999</c:v>
                </c:pt>
                <c:pt idx="3">
                  <c:v>15.355</c:v>
                </c:pt>
                <c:pt idx="4">
                  <c:v>16.41</c:v>
                </c:pt>
                <c:pt idx="5">
                  <c:v>16.384999999999998</c:v>
                </c:pt>
                <c:pt idx="6">
                  <c:v>15.975000000000001</c:v>
                </c:pt>
                <c:pt idx="7">
                  <c:v>16.07</c:v>
                </c:pt>
                <c:pt idx="8">
                  <c:v>16.545000000000002</c:v>
                </c:pt>
                <c:pt idx="9">
                  <c:v>16.125</c:v>
                </c:pt>
                <c:pt idx="10">
                  <c:v>15.235000000000001</c:v>
                </c:pt>
                <c:pt idx="11">
                  <c:v>15.780000000000001</c:v>
                </c:pt>
                <c:pt idx="12">
                  <c:v>16.134999999999998</c:v>
                </c:pt>
                <c:pt idx="13">
                  <c:v>16.2</c:v>
                </c:pt>
                <c:pt idx="14">
                  <c:v>15.795000000000002</c:v>
                </c:pt>
                <c:pt idx="15">
                  <c:v>16.234999999999999</c:v>
                </c:pt>
                <c:pt idx="16">
                  <c:v>16.03</c:v>
                </c:pt>
                <c:pt idx="17">
                  <c:v>15.92</c:v>
                </c:pt>
                <c:pt idx="18">
                  <c:v>15.95</c:v>
                </c:pt>
                <c:pt idx="19">
                  <c:v>16.215</c:v>
                </c:pt>
                <c:pt idx="20">
                  <c:v>15.565</c:v>
                </c:pt>
                <c:pt idx="21">
                  <c:v>16.189999999999998</c:v>
                </c:pt>
                <c:pt idx="22">
                  <c:v>15.715000000000002</c:v>
                </c:pt>
                <c:pt idx="23">
                  <c:v>15.77</c:v>
                </c:pt>
                <c:pt idx="24">
                  <c:v>15.309999999999999</c:v>
                </c:pt>
                <c:pt idx="25">
                  <c:v>15.305</c:v>
                </c:pt>
                <c:pt idx="26">
                  <c:v>15.655000000000001</c:v>
                </c:pt>
                <c:pt idx="27">
                  <c:v>16.060000000000002</c:v>
                </c:pt>
                <c:pt idx="28">
                  <c:v>15.530000000000001</c:v>
                </c:pt>
                <c:pt idx="29">
                  <c:v>15.345000000000001</c:v>
                </c:pt>
                <c:pt idx="30">
                  <c:v>15.94</c:v>
                </c:pt>
                <c:pt idx="31">
                  <c:v>16.055</c:v>
                </c:pt>
                <c:pt idx="32">
                  <c:v>15.844999999999999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77312"/>
        <c:axId val="64878848"/>
      </c:scatterChart>
      <c:valAx>
        <c:axId val="64877312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64878848"/>
        <c:crosses val="autoZero"/>
        <c:crossBetween val="midCat"/>
      </c:valAx>
      <c:valAx>
        <c:axId val="64878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487731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Максимальный за год уровень на участке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участкам'!$D$6:$D$38</c:f>
              <c:numCache>
                <c:formatCode>0.00</c:formatCode>
                <c:ptCount val="33"/>
                <c:pt idx="0">
                  <c:v>21.380000000000003</c:v>
                </c:pt>
                <c:pt idx="1">
                  <c:v>20.98</c:v>
                </c:pt>
                <c:pt idx="2">
                  <c:v>21.71</c:v>
                </c:pt>
                <c:pt idx="3">
                  <c:v>20.93</c:v>
                </c:pt>
                <c:pt idx="4">
                  <c:v>20.939999999999998</c:v>
                </c:pt>
                <c:pt idx="5">
                  <c:v>22.57</c:v>
                </c:pt>
                <c:pt idx="6">
                  <c:v>20.61</c:v>
                </c:pt>
                <c:pt idx="7">
                  <c:v>20.55</c:v>
                </c:pt>
                <c:pt idx="8">
                  <c:v>21.700000000000003</c:v>
                </c:pt>
                <c:pt idx="9">
                  <c:v>21.93</c:v>
                </c:pt>
                <c:pt idx="10">
                  <c:v>19.649999999999999</c:v>
                </c:pt>
                <c:pt idx="11">
                  <c:v>20.96</c:v>
                </c:pt>
                <c:pt idx="12">
                  <c:v>21.200000000000003</c:v>
                </c:pt>
                <c:pt idx="13">
                  <c:v>20.990000000000002</c:v>
                </c:pt>
                <c:pt idx="14">
                  <c:v>20.8</c:v>
                </c:pt>
                <c:pt idx="15">
                  <c:v>21.48</c:v>
                </c:pt>
                <c:pt idx="16">
                  <c:v>20.759999999999998</c:v>
                </c:pt>
                <c:pt idx="17">
                  <c:v>20.92</c:v>
                </c:pt>
                <c:pt idx="18">
                  <c:v>21</c:v>
                </c:pt>
                <c:pt idx="19">
                  <c:v>21.66</c:v>
                </c:pt>
                <c:pt idx="20">
                  <c:v>19.850000000000001</c:v>
                </c:pt>
                <c:pt idx="21">
                  <c:v>20.950000000000003</c:v>
                </c:pt>
                <c:pt idx="22">
                  <c:v>21.16</c:v>
                </c:pt>
                <c:pt idx="23">
                  <c:v>21.1</c:v>
                </c:pt>
                <c:pt idx="24">
                  <c:v>21.07</c:v>
                </c:pt>
                <c:pt idx="25">
                  <c:v>20.72</c:v>
                </c:pt>
                <c:pt idx="26">
                  <c:v>21.33</c:v>
                </c:pt>
                <c:pt idx="27">
                  <c:v>21.23</c:v>
                </c:pt>
                <c:pt idx="28">
                  <c:v>20.310000000000002</c:v>
                </c:pt>
                <c:pt idx="29">
                  <c:v>18.439999999999998</c:v>
                </c:pt>
                <c:pt idx="30">
                  <c:v>21.68</c:v>
                </c:pt>
                <c:pt idx="31">
                  <c:v>20.72</c:v>
                </c:pt>
                <c:pt idx="32">
                  <c:v>21.380000000000003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9296"/>
        <c:axId val="63720832"/>
      </c:scatterChart>
      <c:valAx>
        <c:axId val="63719296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63720832"/>
        <c:crosses val="autoZero"/>
        <c:crossBetween val="midCat"/>
      </c:valAx>
      <c:valAx>
        <c:axId val="63720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371929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Средний годовой уровень на участке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участкам'!$C$6:$C$38</c:f>
              <c:numCache>
                <c:formatCode>0.00</c:formatCode>
                <c:ptCount val="33"/>
                <c:pt idx="0">
                  <c:v>16.115000000000002</c:v>
                </c:pt>
                <c:pt idx="1">
                  <c:v>16.145</c:v>
                </c:pt>
                <c:pt idx="2">
                  <c:v>15.844999999999999</c:v>
                </c:pt>
                <c:pt idx="3">
                  <c:v>15.355</c:v>
                </c:pt>
                <c:pt idx="4">
                  <c:v>16.41</c:v>
                </c:pt>
                <c:pt idx="5">
                  <c:v>16.384999999999998</c:v>
                </c:pt>
                <c:pt idx="6">
                  <c:v>15.975000000000001</c:v>
                </c:pt>
                <c:pt idx="7">
                  <c:v>16.07</c:v>
                </c:pt>
                <c:pt idx="8">
                  <c:v>16.545000000000002</c:v>
                </c:pt>
                <c:pt idx="9">
                  <c:v>16.125</c:v>
                </c:pt>
                <c:pt idx="10">
                  <c:v>15.235000000000001</c:v>
                </c:pt>
                <c:pt idx="11">
                  <c:v>15.780000000000001</c:v>
                </c:pt>
                <c:pt idx="12">
                  <c:v>16.134999999999998</c:v>
                </c:pt>
                <c:pt idx="13">
                  <c:v>16.2</c:v>
                </c:pt>
                <c:pt idx="14">
                  <c:v>15.795000000000002</c:v>
                </c:pt>
                <c:pt idx="15">
                  <c:v>16.234999999999999</c:v>
                </c:pt>
                <c:pt idx="16">
                  <c:v>16.03</c:v>
                </c:pt>
                <c:pt idx="17">
                  <c:v>15.92</c:v>
                </c:pt>
                <c:pt idx="18">
                  <c:v>15.95</c:v>
                </c:pt>
                <c:pt idx="19">
                  <c:v>16.215</c:v>
                </c:pt>
                <c:pt idx="20">
                  <c:v>15.565</c:v>
                </c:pt>
                <c:pt idx="21">
                  <c:v>16.189999999999998</c:v>
                </c:pt>
                <c:pt idx="22">
                  <c:v>15.715000000000002</c:v>
                </c:pt>
                <c:pt idx="23">
                  <c:v>15.77</c:v>
                </c:pt>
                <c:pt idx="24">
                  <c:v>15.309999999999999</c:v>
                </c:pt>
                <c:pt idx="25">
                  <c:v>15.305</c:v>
                </c:pt>
                <c:pt idx="26">
                  <c:v>15.655000000000001</c:v>
                </c:pt>
                <c:pt idx="27">
                  <c:v>16.060000000000002</c:v>
                </c:pt>
                <c:pt idx="28">
                  <c:v>15.530000000000001</c:v>
                </c:pt>
                <c:pt idx="29">
                  <c:v>15.345000000000001</c:v>
                </c:pt>
                <c:pt idx="30">
                  <c:v>15.94</c:v>
                </c:pt>
                <c:pt idx="31">
                  <c:v>16.055</c:v>
                </c:pt>
                <c:pt idx="32">
                  <c:v>15.844999999999999</c:v>
                </c:pt>
              </c:numCache>
            </c:numRef>
          </c:yVal>
          <c:smooth val="0"/>
        </c:ser>
        <c:ser>
          <c:idx val="0"/>
          <c:order val="0"/>
          <c:tx>
            <c:v>Максимальный за год уровень на участке</c:v>
          </c:tx>
          <c:spPr>
            <a:ln w="158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участкам'!$D$6:$D$38</c:f>
              <c:numCache>
                <c:formatCode>0.00</c:formatCode>
                <c:ptCount val="33"/>
                <c:pt idx="0">
                  <c:v>21.380000000000003</c:v>
                </c:pt>
                <c:pt idx="1">
                  <c:v>20.98</c:v>
                </c:pt>
                <c:pt idx="2">
                  <c:v>21.71</c:v>
                </c:pt>
                <c:pt idx="3">
                  <c:v>20.93</c:v>
                </c:pt>
                <c:pt idx="4">
                  <c:v>20.939999999999998</c:v>
                </c:pt>
                <c:pt idx="5">
                  <c:v>22.57</c:v>
                </c:pt>
                <c:pt idx="6">
                  <c:v>20.61</c:v>
                </c:pt>
                <c:pt idx="7">
                  <c:v>20.55</c:v>
                </c:pt>
                <c:pt idx="8">
                  <c:v>21.700000000000003</c:v>
                </c:pt>
                <c:pt idx="9">
                  <c:v>21.93</c:v>
                </c:pt>
                <c:pt idx="10">
                  <c:v>19.649999999999999</c:v>
                </c:pt>
                <c:pt idx="11">
                  <c:v>20.96</c:v>
                </c:pt>
                <c:pt idx="12">
                  <c:v>21.200000000000003</c:v>
                </c:pt>
                <c:pt idx="13">
                  <c:v>20.990000000000002</c:v>
                </c:pt>
                <c:pt idx="14">
                  <c:v>20.8</c:v>
                </c:pt>
                <c:pt idx="15">
                  <c:v>21.48</c:v>
                </c:pt>
                <c:pt idx="16">
                  <c:v>20.759999999999998</c:v>
                </c:pt>
                <c:pt idx="17">
                  <c:v>20.92</c:v>
                </c:pt>
                <c:pt idx="18">
                  <c:v>21</c:v>
                </c:pt>
                <c:pt idx="19">
                  <c:v>21.66</c:v>
                </c:pt>
                <c:pt idx="20">
                  <c:v>19.850000000000001</c:v>
                </c:pt>
                <c:pt idx="21">
                  <c:v>20.950000000000003</c:v>
                </c:pt>
                <c:pt idx="22">
                  <c:v>21.16</c:v>
                </c:pt>
                <c:pt idx="23">
                  <c:v>21.1</c:v>
                </c:pt>
                <c:pt idx="24">
                  <c:v>21.07</c:v>
                </c:pt>
                <c:pt idx="25">
                  <c:v>20.72</c:v>
                </c:pt>
                <c:pt idx="26">
                  <c:v>21.33</c:v>
                </c:pt>
                <c:pt idx="27">
                  <c:v>21.23</c:v>
                </c:pt>
                <c:pt idx="28">
                  <c:v>20.310000000000002</c:v>
                </c:pt>
                <c:pt idx="29">
                  <c:v>18.439999999999998</c:v>
                </c:pt>
                <c:pt idx="30">
                  <c:v>21.68</c:v>
                </c:pt>
                <c:pt idx="31">
                  <c:v>20.72</c:v>
                </c:pt>
                <c:pt idx="32">
                  <c:v>21.380000000000003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8336"/>
        <c:axId val="63759872"/>
      </c:scatterChart>
      <c:valAx>
        <c:axId val="63758336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63759872"/>
        <c:crosses val="autoZero"/>
        <c:crossBetween val="midCat"/>
      </c:valAx>
      <c:valAx>
        <c:axId val="63759872"/>
        <c:scaling>
          <c:orientation val="minMax"/>
          <c:max val="23"/>
          <c:min val="1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375833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Средний годовой уровень на участке</c:v>
          </c:tx>
          <c:marker>
            <c:symbol val="none"/>
          </c:marker>
          <c:trendline>
            <c:spPr>
              <a:ln w="15875">
                <a:solidFill>
                  <a:schemeClr val="tx2">
                    <a:lumMod val="75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участкам'!$C$6:$C$38</c:f>
              <c:numCache>
                <c:formatCode>0.00</c:formatCode>
                <c:ptCount val="33"/>
                <c:pt idx="0">
                  <c:v>16.115000000000002</c:v>
                </c:pt>
                <c:pt idx="1">
                  <c:v>16.145</c:v>
                </c:pt>
                <c:pt idx="2">
                  <c:v>15.844999999999999</c:v>
                </c:pt>
                <c:pt idx="3">
                  <c:v>15.355</c:v>
                </c:pt>
                <c:pt idx="4">
                  <c:v>16.41</c:v>
                </c:pt>
                <c:pt idx="5">
                  <c:v>16.384999999999998</c:v>
                </c:pt>
                <c:pt idx="6">
                  <c:v>15.975000000000001</c:v>
                </c:pt>
                <c:pt idx="7">
                  <c:v>16.07</c:v>
                </c:pt>
                <c:pt idx="8">
                  <c:v>16.545000000000002</c:v>
                </c:pt>
                <c:pt idx="9">
                  <c:v>16.125</c:v>
                </c:pt>
                <c:pt idx="10">
                  <c:v>15.235000000000001</c:v>
                </c:pt>
                <c:pt idx="11">
                  <c:v>15.780000000000001</c:v>
                </c:pt>
                <c:pt idx="12">
                  <c:v>16.134999999999998</c:v>
                </c:pt>
                <c:pt idx="13">
                  <c:v>16.2</c:v>
                </c:pt>
                <c:pt idx="14">
                  <c:v>15.795000000000002</c:v>
                </c:pt>
                <c:pt idx="15">
                  <c:v>16.234999999999999</c:v>
                </c:pt>
                <c:pt idx="16">
                  <c:v>16.03</c:v>
                </c:pt>
                <c:pt idx="17">
                  <c:v>15.92</c:v>
                </c:pt>
                <c:pt idx="18">
                  <c:v>15.95</c:v>
                </c:pt>
                <c:pt idx="19">
                  <c:v>16.215</c:v>
                </c:pt>
                <c:pt idx="20">
                  <c:v>15.565</c:v>
                </c:pt>
                <c:pt idx="21">
                  <c:v>16.189999999999998</c:v>
                </c:pt>
                <c:pt idx="22">
                  <c:v>15.715000000000002</c:v>
                </c:pt>
                <c:pt idx="23">
                  <c:v>15.77</c:v>
                </c:pt>
                <c:pt idx="24">
                  <c:v>15.309999999999999</c:v>
                </c:pt>
                <c:pt idx="25">
                  <c:v>15.305</c:v>
                </c:pt>
                <c:pt idx="26">
                  <c:v>15.655000000000001</c:v>
                </c:pt>
                <c:pt idx="27">
                  <c:v>16.060000000000002</c:v>
                </c:pt>
                <c:pt idx="28">
                  <c:v>15.530000000000001</c:v>
                </c:pt>
                <c:pt idx="29">
                  <c:v>15.345000000000001</c:v>
                </c:pt>
                <c:pt idx="30">
                  <c:v>15.94</c:v>
                </c:pt>
                <c:pt idx="31">
                  <c:v>16.055</c:v>
                </c:pt>
                <c:pt idx="32">
                  <c:v>15.844999999999999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20960"/>
        <c:axId val="64926848"/>
      </c:scatterChart>
      <c:valAx>
        <c:axId val="64920960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64926848"/>
        <c:crosses val="autoZero"/>
        <c:crossBetween val="midCat"/>
      </c:valAx>
      <c:valAx>
        <c:axId val="64926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4920960"/>
        <c:crosses val="autoZero"/>
        <c:crossBetween val="midCat"/>
      </c:valAx>
    </c:plotArea>
    <c:legend>
      <c:legendPos val="b"/>
      <c:legendEntry>
        <c:idx val="1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Максимальный за год уровень на участке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участкам'!$D$6:$D$38</c:f>
              <c:numCache>
                <c:formatCode>0.00</c:formatCode>
                <c:ptCount val="33"/>
                <c:pt idx="0">
                  <c:v>21.380000000000003</c:v>
                </c:pt>
                <c:pt idx="1">
                  <c:v>20.98</c:v>
                </c:pt>
                <c:pt idx="2">
                  <c:v>21.71</c:v>
                </c:pt>
                <c:pt idx="3">
                  <c:v>20.93</c:v>
                </c:pt>
                <c:pt idx="4">
                  <c:v>20.939999999999998</c:v>
                </c:pt>
                <c:pt idx="5">
                  <c:v>22.57</c:v>
                </c:pt>
                <c:pt idx="6">
                  <c:v>20.61</c:v>
                </c:pt>
                <c:pt idx="7">
                  <c:v>20.55</c:v>
                </c:pt>
                <c:pt idx="8">
                  <c:v>21.700000000000003</c:v>
                </c:pt>
                <c:pt idx="9">
                  <c:v>21.93</c:v>
                </c:pt>
                <c:pt idx="10">
                  <c:v>19.649999999999999</c:v>
                </c:pt>
                <c:pt idx="11">
                  <c:v>20.96</c:v>
                </c:pt>
                <c:pt idx="12">
                  <c:v>21.200000000000003</c:v>
                </c:pt>
                <c:pt idx="13">
                  <c:v>20.990000000000002</c:v>
                </c:pt>
                <c:pt idx="14">
                  <c:v>20.8</c:v>
                </c:pt>
                <c:pt idx="15">
                  <c:v>21.48</c:v>
                </c:pt>
                <c:pt idx="16">
                  <c:v>20.759999999999998</c:v>
                </c:pt>
                <c:pt idx="17">
                  <c:v>20.92</c:v>
                </c:pt>
                <c:pt idx="18">
                  <c:v>21</c:v>
                </c:pt>
                <c:pt idx="19">
                  <c:v>21.66</c:v>
                </c:pt>
                <c:pt idx="20">
                  <c:v>19.850000000000001</c:v>
                </c:pt>
                <c:pt idx="21">
                  <c:v>20.950000000000003</c:v>
                </c:pt>
                <c:pt idx="22">
                  <c:v>21.16</c:v>
                </c:pt>
                <c:pt idx="23">
                  <c:v>21.1</c:v>
                </c:pt>
                <c:pt idx="24">
                  <c:v>21.07</c:v>
                </c:pt>
                <c:pt idx="25">
                  <c:v>20.72</c:v>
                </c:pt>
                <c:pt idx="26">
                  <c:v>21.33</c:v>
                </c:pt>
                <c:pt idx="27">
                  <c:v>21.23</c:v>
                </c:pt>
                <c:pt idx="28">
                  <c:v>20.310000000000002</c:v>
                </c:pt>
                <c:pt idx="29">
                  <c:v>18.439999999999998</c:v>
                </c:pt>
                <c:pt idx="30">
                  <c:v>21.68</c:v>
                </c:pt>
                <c:pt idx="31">
                  <c:v>20.72</c:v>
                </c:pt>
                <c:pt idx="32">
                  <c:v>21.380000000000003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36192"/>
        <c:axId val="67321856"/>
      </c:scatterChart>
      <c:valAx>
        <c:axId val="64936192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67321856"/>
        <c:crosses val="autoZero"/>
        <c:crossBetween val="midCat"/>
      </c:valAx>
      <c:valAx>
        <c:axId val="67321856"/>
        <c:scaling>
          <c:orientation val="minMax"/>
          <c:max val="23"/>
          <c:min val="1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4936192"/>
        <c:crosses val="autoZero"/>
        <c:crossBetween val="midCat"/>
      </c:valAx>
    </c:plotArea>
    <c:legend>
      <c:legendPos val="b"/>
      <c:legendEntry>
        <c:idx val="1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Средний годовой уровень на участке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участкам'!$E$6:$E$38</c:f>
              <c:numCache>
                <c:formatCode>0.00</c:formatCode>
                <c:ptCount val="33"/>
                <c:pt idx="0">
                  <c:v>14.84</c:v>
                </c:pt>
                <c:pt idx="1">
                  <c:v>14.925000000000001</c:v>
                </c:pt>
                <c:pt idx="2">
                  <c:v>15.135</c:v>
                </c:pt>
                <c:pt idx="3">
                  <c:v>14.600000000000001</c:v>
                </c:pt>
                <c:pt idx="4">
                  <c:v>15.295</c:v>
                </c:pt>
                <c:pt idx="5">
                  <c:v>15.234999999999999</c:v>
                </c:pt>
                <c:pt idx="6">
                  <c:v>15.085000000000001</c:v>
                </c:pt>
                <c:pt idx="7">
                  <c:v>15.06</c:v>
                </c:pt>
                <c:pt idx="8">
                  <c:v>15.225000000000001</c:v>
                </c:pt>
                <c:pt idx="9">
                  <c:v>15.175000000000001</c:v>
                </c:pt>
                <c:pt idx="10">
                  <c:v>14.705</c:v>
                </c:pt>
                <c:pt idx="11">
                  <c:v>15.02</c:v>
                </c:pt>
                <c:pt idx="12">
                  <c:v>15.129999999999999</c:v>
                </c:pt>
                <c:pt idx="13">
                  <c:v>15.14</c:v>
                </c:pt>
                <c:pt idx="14">
                  <c:v>15.035</c:v>
                </c:pt>
                <c:pt idx="15">
                  <c:v>15.36</c:v>
                </c:pt>
                <c:pt idx="16">
                  <c:v>15.195</c:v>
                </c:pt>
                <c:pt idx="17">
                  <c:v>15.219999999999999</c:v>
                </c:pt>
                <c:pt idx="18">
                  <c:v>15.175000000000001</c:v>
                </c:pt>
                <c:pt idx="19">
                  <c:v>15.355</c:v>
                </c:pt>
                <c:pt idx="20">
                  <c:v>15.055</c:v>
                </c:pt>
                <c:pt idx="21">
                  <c:v>15.274999999999999</c:v>
                </c:pt>
                <c:pt idx="22">
                  <c:v>15.055</c:v>
                </c:pt>
                <c:pt idx="23">
                  <c:v>15.055</c:v>
                </c:pt>
                <c:pt idx="24">
                  <c:v>14.635000000000002</c:v>
                </c:pt>
                <c:pt idx="25">
                  <c:v>14.645</c:v>
                </c:pt>
                <c:pt idx="26">
                  <c:v>14.920000000000002</c:v>
                </c:pt>
                <c:pt idx="27">
                  <c:v>15.15</c:v>
                </c:pt>
                <c:pt idx="28">
                  <c:v>14.77</c:v>
                </c:pt>
                <c:pt idx="29">
                  <c:v>14.734999999999999</c:v>
                </c:pt>
                <c:pt idx="30">
                  <c:v>15.135</c:v>
                </c:pt>
                <c:pt idx="31">
                  <c:v>15.19</c:v>
                </c:pt>
                <c:pt idx="32">
                  <c:v>14.959999999999999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38240"/>
        <c:axId val="67339776"/>
      </c:scatterChart>
      <c:valAx>
        <c:axId val="67338240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67339776"/>
        <c:crosses val="autoZero"/>
        <c:crossBetween val="midCat"/>
      </c:valAx>
      <c:valAx>
        <c:axId val="67339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673382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Максимальный за год уровень на участке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участкам'!$F$6:$F$38</c:f>
              <c:numCache>
                <c:formatCode>0.00</c:formatCode>
                <c:ptCount val="33"/>
                <c:pt idx="0">
                  <c:v>15.29</c:v>
                </c:pt>
                <c:pt idx="1">
                  <c:v>15.34</c:v>
                </c:pt>
                <c:pt idx="2">
                  <c:v>15.45</c:v>
                </c:pt>
                <c:pt idx="3">
                  <c:v>14.83</c:v>
                </c:pt>
                <c:pt idx="4">
                  <c:v>15.73</c:v>
                </c:pt>
                <c:pt idx="5">
                  <c:v>15.68</c:v>
                </c:pt>
                <c:pt idx="6">
                  <c:v>15.4</c:v>
                </c:pt>
                <c:pt idx="7">
                  <c:v>15.43</c:v>
                </c:pt>
                <c:pt idx="8">
                  <c:v>15.71</c:v>
                </c:pt>
                <c:pt idx="9">
                  <c:v>15.54</c:v>
                </c:pt>
                <c:pt idx="10">
                  <c:v>14.870000000000001</c:v>
                </c:pt>
                <c:pt idx="11">
                  <c:v>15.31</c:v>
                </c:pt>
                <c:pt idx="12">
                  <c:v>15.51</c:v>
                </c:pt>
                <c:pt idx="13">
                  <c:v>15.56</c:v>
                </c:pt>
                <c:pt idx="14">
                  <c:v>15.31</c:v>
                </c:pt>
                <c:pt idx="15">
                  <c:v>15.8</c:v>
                </c:pt>
                <c:pt idx="16">
                  <c:v>15.54</c:v>
                </c:pt>
                <c:pt idx="17">
                  <c:v>15.52</c:v>
                </c:pt>
                <c:pt idx="18">
                  <c:v>15.52</c:v>
                </c:pt>
                <c:pt idx="19">
                  <c:v>15.75</c:v>
                </c:pt>
                <c:pt idx="20">
                  <c:v>15.29</c:v>
                </c:pt>
                <c:pt idx="21">
                  <c:v>15.719999999999999</c:v>
                </c:pt>
                <c:pt idx="22">
                  <c:v>15.370000000000001</c:v>
                </c:pt>
                <c:pt idx="23">
                  <c:v>15.379999999999999</c:v>
                </c:pt>
                <c:pt idx="24">
                  <c:v>14.9</c:v>
                </c:pt>
                <c:pt idx="25">
                  <c:v>14.9</c:v>
                </c:pt>
                <c:pt idx="26">
                  <c:v>15.190000000000001</c:v>
                </c:pt>
                <c:pt idx="27">
                  <c:v>15.48</c:v>
                </c:pt>
                <c:pt idx="28">
                  <c:v>14.99</c:v>
                </c:pt>
                <c:pt idx="29">
                  <c:v>14.89</c:v>
                </c:pt>
                <c:pt idx="30">
                  <c:v>15.43</c:v>
                </c:pt>
                <c:pt idx="31">
                  <c:v>15.54</c:v>
                </c:pt>
                <c:pt idx="32">
                  <c:v>15.219999999999999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4880"/>
        <c:axId val="76876416"/>
      </c:scatterChart>
      <c:valAx>
        <c:axId val="76874880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76876416"/>
        <c:crosses val="autoZero"/>
        <c:crossBetween val="midCat"/>
      </c:valAx>
      <c:valAx>
        <c:axId val="768764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687488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Средний годовой уровень на участке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участкам'!$E$6:$E$38</c:f>
              <c:numCache>
                <c:formatCode>0.00</c:formatCode>
                <c:ptCount val="33"/>
                <c:pt idx="0">
                  <c:v>14.84</c:v>
                </c:pt>
                <c:pt idx="1">
                  <c:v>14.925000000000001</c:v>
                </c:pt>
                <c:pt idx="2">
                  <c:v>15.135</c:v>
                </c:pt>
                <c:pt idx="3">
                  <c:v>14.600000000000001</c:v>
                </c:pt>
                <c:pt idx="4">
                  <c:v>15.295</c:v>
                </c:pt>
                <c:pt idx="5">
                  <c:v>15.234999999999999</c:v>
                </c:pt>
                <c:pt idx="6">
                  <c:v>15.085000000000001</c:v>
                </c:pt>
                <c:pt idx="7">
                  <c:v>15.06</c:v>
                </c:pt>
                <c:pt idx="8">
                  <c:v>15.225000000000001</c:v>
                </c:pt>
                <c:pt idx="9">
                  <c:v>15.175000000000001</c:v>
                </c:pt>
                <c:pt idx="10">
                  <c:v>14.705</c:v>
                </c:pt>
                <c:pt idx="11">
                  <c:v>15.02</c:v>
                </c:pt>
                <c:pt idx="12">
                  <c:v>15.129999999999999</c:v>
                </c:pt>
                <c:pt idx="13">
                  <c:v>15.14</c:v>
                </c:pt>
                <c:pt idx="14">
                  <c:v>15.035</c:v>
                </c:pt>
                <c:pt idx="15">
                  <c:v>15.36</c:v>
                </c:pt>
                <c:pt idx="16">
                  <c:v>15.195</c:v>
                </c:pt>
                <c:pt idx="17">
                  <c:v>15.219999999999999</c:v>
                </c:pt>
                <c:pt idx="18">
                  <c:v>15.175000000000001</c:v>
                </c:pt>
                <c:pt idx="19">
                  <c:v>15.355</c:v>
                </c:pt>
                <c:pt idx="20">
                  <c:v>15.055</c:v>
                </c:pt>
                <c:pt idx="21">
                  <c:v>15.274999999999999</c:v>
                </c:pt>
                <c:pt idx="22">
                  <c:v>15.055</c:v>
                </c:pt>
                <c:pt idx="23">
                  <c:v>15.055</c:v>
                </c:pt>
                <c:pt idx="24">
                  <c:v>14.635000000000002</c:v>
                </c:pt>
                <c:pt idx="25">
                  <c:v>14.645</c:v>
                </c:pt>
                <c:pt idx="26">
                  <c:v>14.920000000000002</c:v>
                </c:pt>
                <c:pt idx="27">
                  <c:v>15.15</c:v>
                </c:pt>
                <c:pt idx="28">
                  <c:v>14.77</c:v>
                </c:pt>
                <c:pt idx="29">
                  <c:v>14.734999999999999</c:v>
                </c:pt>
                <c:pt idx="30">
                  <c:v>15.135</c:v>
                </c:pt>
                <c:pt idx="31">
                  <c:v>15.19</c:v>
                </c:pt>
                <c:pt idx="32">
                  <c:v>14.959999999999999</c:v>
                </c:pt>
              </c:numCache>
            </c:numRef>
          </c:yVal>
          <c:smooth val="0"/>
        </c:ser>
        <c:ser>
          <c:idx val="0"/>
          <c:order val="0"/>
          <c:tx>
            <c:v>Максимальный за год уровень на участке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участкам'!$F$6:$F$38</c:f>
              <c:numCache>
                <c:formatCode>0.00</c:formatCode>
                <c:ptCount val="33"/>
                <c:pt idx="0">
                  <c:v>15.29</c:v>
                </c:pt>
                <c:pt idx="1">
                  <c:v>15.34</c:v>
                </c:pt>
                <c:pt idx="2">
                  <c:v>15.45</c:v>
                </c:pt>
                <c:pt idx="3">
                  <c:v>14.83</c:v>
                </c:pt>
                <c:pt idx="4">
                  <c:v>15.73</c:v>
                </c:pt>
                <c:pt idx="5">
                  <c:v>15.68</c:v>
                </c:pt>
                <c:pt idx="6">
                  <c:v>15.4</c:v>
                </c:pt>
                <c:pt idx="7">
                  <c:v>15.43</c:v>
                </c:pt>
                <c:pt idx="8">
                  <c:v>15.71</c:v>
                </c:pt>
                <c:pt idx="9">
                  <c:v>15.54</c:v>
                </c:pt>
                <c:pt idx="10">
                  <c:v>14.870000000000001</c:v>
                </c:pt>
                <c:pt idx="11">
                  <c:v>15.31</c:v>
                </c:pt>
                <c:pt idx="12">
                  <c:v>15.51</c:v>
                </c:pt>
                <c:pt idx="13">
                  <c:v>15.56</c:v>
                </c:pt>
                <c:pt idx="14">
                  <c:v>15.31</c:v>
                </c:pt>
                <c:pt idx="15">
                  <c:v>15.8</c:v>
                </c:pt>
                <c:pt idx="16">
                  <c:v>15.54</c:v>
                </c:pt>
                <c:pt idx="17">
                  <c:v>15.52</c:v>
                </c:pt>
                <c:pt idx="18">
                  <c:v>15.52</c:v>
                </c:pt>
                <c:pt idx="19">
                  <c:v>15.75</c:v>
                </c:pt>
                <c:pt idx="20">
                  <c:v>15.29</c:v>
                </c:pt>
                <c:pt idx="21">
                  <c:v>15.719999999999999</c:v>
                </c:pt>
                <c:pt idx="22">
                  <c:v>15.370000000000001</c:v>
                </c:pt>
                <c:pt idx="23">
                  <c:v>15.379999999999999</c:v>
                </c:pt>
                <c:pt idx="24">
                  <c:v>14.9</c:v>
                </c:pt>
                <c:pt idx="25">
                  <c:v>14.9</c:v>
                </c:pt>
                <c:pt idx="26">
                  <c:v>15.190000000000001</c:v>
                </c:pt>
                <c:pt idx="27">
                  <c:v>15.48</c:v>
                </c:pt>
                <c:pt idx="28">
                  <c:v>14.99</c:v>
                </c:pt>
                <c:pt idx="29">
                  <c:v>14.89</c:v>
                </c:pt>
                <c:pt idx="30">
                  <c:v>15.43</c:v>
                </c:pt>
                <c:pt idx="31">
                  <c:v>15.54</c:v>
                </c:pt>
                <c:pt idx="32">
                  <c:v>15.219999999999999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91264"/>
        <c:axId val="76892800"/>
      </c:scatterChart>
      <c:valAx>
        <c:axId val="76891264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76892800"/>
        <c:crosses val="autoZero"/>
        <c:crossBetween val="midCat"/>
      </c:valAx>
      <c:valAx>
        <c:axId val="768928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68912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Средний годовой уровень на участке</c:v>
          </c:tx>
          <c:marker>
            <c:symbol val="none"/>
          </c:marker>
          <c:trendline>
            <c:spPr>
              <a:ln w="15875">
                <a:solidFill>
                  <a:schemeClr val="tx2">
                    <a:lumMod val="75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участкам'!$E$6:$E$38</c:f>
              <c:numCache>
                <c:formatCode>0.00</c:formatCode>
                <c:ptCount val="33"/>
                <c:pt idx="0">
                  <c:v>14.84</c:v>
                </c:pt>
                <c:pt idx="1">
                  <c:v>14.925000000000001</c:v>
                </c:pt>
                <c:pt idx="2">
                  <c:v>15.135</c:v>
                </c:pt>
                <c:pt idx="3">
                  <c:v>14.600000000000001</c:v>
                </c:pt>
                <c:pt idx="4">
                  <c:v>15.295</c:v>
                </c:pt>
                <c:pt idx="5">
                  <c:v>15.234999999999999</c:v>
                </c:pt>
                <c:pt idx="6">
                  <c:v>15.085000000000001</c:v>
                </c:pt>
                <c:pt idx="7">
                  <c:v>15.06</c:v>
                </c:pt>
                <c:pt idx="8">
                  <c:v>15.225000000000001</c:v>
                </c:pt>
                <c:pt idx="9">
                  <c:v>15.175000000000001</c:v>
                </c:pt>
                <c:pt idx="10">
                  <c:v>14.705</c:v>
                </c:pt>
                <c:pt idx="11">
                  <c:v>15.02</c:v>
                </c:pt>
                <c:pt idx="12">
                  <c:v>15.129999999999999</c:v>
                </c:pt>
                <c:pt idx="13">
                  <c:v>15.14</c:v>
                </c:pt>
                <c:pt idx="14">
                  <c:v>15.035</c:v>
                </c:pt>
                <c:pt idx="15">
                  <c:v>15.36</c:v>
                </c:pt>
                <c:pt idx="16">
                  <c:v>15.195</c:v>
                </c:pt>
                <c:pt idx="17">
                  <c:v>15.219999999999999</c:v>
                </c:pt>
                <c:pt idx="18">
                  <c:v>15.175000000000001</c:v>
                </c:pt>
                <c:pt idx="19">
                  <c:v>15.355</c:v>
                </c:pt>
                <c:pt idx="20">
                  <c:v>15.055</c:v>
                </c:pt>
                <c:pt idx="21">
                  <c:v>15.274999999999999</c:v>
                </c:pt>
                <c:pt idx="22">
                  <c:v>15.055</c:v>
                </c:pt>
                <c:pt idx="23">
                  <c:v>15.055</c:v>
                </c:pt>
                <c:pt idx="24">
                  <c:v>14.635000000000002</c:v>
                </c:pt>
                <c:pt idx="25">
                  <c:v>14.645</c:v>
                </c:pt>
                <c:pt idx="26">
                  <c:v>14.920000000000002</c:v>
                </c:pt>
                <c:pt idx="27">
                  <c:v>15.15</c:v>
                </c:pt>
                <c:pt idx="28">
                  <c:v>14.77</c:v>
                </c:pt>
                <c:pt idx="29">
                  <c:v>14.734999999999999</c:v>
                </c:pt>
                <c:pt idx="30">
                  <c:v>15.135</c:v>
                </c:pt>
                <c:pt idx="31">
                  <c:v>15.19</c:v>
                </c:pt>
                <c:pt idx="32">
                  <c:v>14.959999999999999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66240"/>
        <c:axId val="77468032"/>
      </c:scatterChart>
      <c:valAx>
        <c:axId val="77466240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77468032"/>
        <c:crosses val="autoZero"/>
        <c:crossBetween val="midCat"/>
      </c:valAx>
      <c:valAx>
        <c:axId val="77468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7466240"/>
        <c:crosses val="autoZero"/>
        <c:crossBetween val="midCat"/>
      </c:valAx>
    </c:plotArea>
    <c:legend>
      <c:legendPos val="b"/>
      <c:legendEntry>
        <c:idx val="1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Средний годовой уровень на участке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участкам'!$G$6:$G$38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80320"/>
        <c:axId val="77481856"/>
      </c:scatterChart>
      <c:valAx>
        <c:axId val="77480320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77481856"/>
        <c:crosses val="autoZero"/>
        <c:crossBetween val="midCat"/>
      </c:valAx>
      <c:valAx>
        <c:axId val="774818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748032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Максимальный за год уровень на участке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участкам'!$H$6:$H$38</c:f>
              <c:numCache>
                <c:formatCode>0.00</c:formatCode>
                <c:ptCount val="33"/>
                <c:pt idx="0">
                  <c:v>15.34</c:v>
                </c:pt>
                <c:pt idx="1">
                  <c:v>15.379999999999999</c:v>
                </c:pt>
                <c:pt idx="2">
                  <c:v>15.59</c:v>
                </c:pt>
                <c:pt idx="3">
                  <c:v>15.23</c:v>
                </c:pt>
                <c:pt idx="4">
                  <c:v>15.31</c:v>
                </c:pt>
                <c:pt idx="5">
                  <c:v>16.04</c:v>
                </c:pt>
                <c:pt idx="6">
                  <c:v>15.21</c:v>
                </c:pt>
                <c:pt idx="7">
                  <c:v>15.219999999999999</c:v>
                </c:pt>
                <c:pt idx="8">
                  <c:v>15.34</c:v>
                </c:pt>
                <c:pt idx="9">
                  <c:v>15.58</c:v>
                </c:pt>
                <c:pt idx="10">
                  <c:v>15.280000000000001</c:v>
                </c:pt>
                <c:pt idx="11">
                  <c:v>15.5</c:v>
                </c:pt>
                <c:pt idx="12">
                  <c:v>15.39</c:v>
                </c:pt>
                <c:pt idx="13">
                  <c:v>15.25</c:v>
                </c:pt>
                <c:pt idx="14">
                  <c:v>15.31</c:v>
                </c:pt>
                <c:pt idx="15">
                  <c:v>15.600000000000001</c:v>
                </c:pt>
                <c:pt idx="16">
                  <c:v>15.3</c:v>
                </c:pt>
                <c:pt idx="17">
                  <c:v>15.370000000000001</c:v>
                </c:pt>
                <c:pt idx="18">
                  <c:v>15.32</c:v>
                </c:pt>
                <c:pt idx="19">
                  <c:v>15.77</c:v>
                </c:pt>
                <c:pt idx="20">
                  <c:v>15.5</c:v>
                </c:pt>
                <c:pt idx="21">
                  <c:v>15.41</c:v>
                </c:pt>
                <c:pt idx="22">
                  <c:v>15.690000000000001</c:v>
                </c:pt>
                <c:pt idx="23">
                  <c:v>15.45</c:v>
                </c:pt>
                <c:pt idx="24">
                  <c:v>15.600000000000001</c:v>
                </c:pt>
                <c:pt idx="25">
                  <c:v>15.49</c:v>
                </c:pt>
                <c:pt idx="26">
                  <c:v>15.52</c:v>
                </c:pt>
                <c:pt idx="27">
                  <c:v>15.370000000000001</c:v>
                </c:pt>
                <c:pt idx="28">
                  <c:v>15.45</c:v>
                </c:pt>
                <c:pt idx="29">
                  <c:v>15.18</c:v>
                </c:pt>
                <c:pt idx="30">
                  <c:v>15.600000000000001</c:v>
                </c:pt>
                <c:pt idx="31">
                  <c:v>15.45</c:v>
                </c:pt>
                <c:pt idx="32">
                  <c:v>15.2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14240"/>
        <c:axId val="77515776"/>
      </c:scatterChart>
      <c:valAx>
        <c:axId val="77514240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77515776"/>
        <c:crosses val="autoZero"/>
        <c:crossBetween val="midCat"/>
      </c:valAx>
      <c:valAx>
        <c:axId val="775157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751424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v>Средний годовой уровень на участке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участкам'!$G$6:$G$38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ser>
          <c:idx val="0"/>
          <c:order val="0"/>
          <c:tx>
            <c:v>Максимальный за год уровень на участке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участкам'!$H$6:$H$38</c:f>
              <c:numCache>
                <c:formatCode>0.00</c:formatCode>
                <c:ptCount val="33"/>
                <c:pt idx="0">
                  <c:v>15.34</c:v>
                </c:pt>
                <c:pt idx="1">
                  <c:v>15.379999999999999</c:v>
                </c:pt>
                <c:pt idx="2">
                  <c:v>15.59</c:v>
                </c:pt>
                <c:pt idx="3">
                  <c:v>15.23</c:v>
                </c:pt>
                <c:pt idx="4">
                  <c:v>15.31</c:v>
                </c:pt>
                <c:pt idx="5">
                  <c:v>16.04</c:v>
                </c:pt>
                <c:pt idx="6">
                  <c:v>15.21</c:v>
                </c:pt>
                <c:pt idx="7">
                  <c:v>15.219999999999999</c:v>
                </c:pt>
                <c:pt idx="8">
                  <c:v>15.34</c:v>
                </c:pt>
                <c:pt idx="9">
                  <c:v>15.58</c:v>
                </c:pt>
                <c:pt idx="10">
                  <c:v>15.280000000000001</c:v>
                </c:pt>
                <c:pt idx="11">
                  <c:v>15.5</c:v>
                </c:pt>
                <c:pt idx="12">
                  <c:v>15.39</c:v>
                </c:pt>
                <c:pt idx="13">
                  <c:v>15.25</c:v>
                </c:pt>
                <c:pt idx="14">
                  <c:v>15.31</c:v>
                </c:pt>
                <c:pt idx="15">
                  <c:v>15.600000000000001</c:v>
                </c:pt>
                <c:pt idx="16">
                  <c:v>15.3</c:v>
                </c:pt>
                <c:pt idx="17">
                  <c:v>15.370000000000001</c:v>
                </c:pt>
                <c:pt idx="18">
                  <c:v>15.32</c:v>
                </c:pt>
                <c:pt idx="19">
                  <c:v>15.77</c:v>
                </c:pt>
                <c:pt idx="20">
                  <c:v>15.5</c:v>
                </c:pt>
                <c:pt idx="21">
                  <c:v>15.41</c:v>
                </c:pt>
                <c:pt idx="22">
                  <c:v>15.690000000000001</c:v>
                </c:pt>
                <c:pt idx="23">
                  <c:v>15.45</c:v>
                </c:pt>
                <c:pt idx="24">
                  <c:v>15.600000000000001</c:v>
                </c:pt>
                <c:pt idx="25">
                  <c:v>15.49</c:v>
                </c:pt>
                <c:pt idx="26">
                  <c:v>15.52</c:v>
                </c:pt>
                <c:pt idx="27">
                  <c:v>15.370000000000001</c:v>
                </c:pt>
                <c:pt idx="28">
                  <c:v>15.45</c:v>
                </c:pt>
                <c:pt idx="29">
                  <c:v>15.18</c:v>
                </c:pt>
                <c:pt idx="30">
                  <c:v>15.600000000000001</c:v>
                </c:pt>
                <c:pt idx="31">
                  <c:v>15.45</c:v>
                </c:pt>
                <c:pt idx="32">
                  <c:v>15.2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82976"/>
        <c:axId val="83584512"/>
      </c:scatterChart>
      <c:valAx>
        <c:axId val="83582976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83584512"/>
        <c:crosses val="autoZero"/>
        <c:crossBetween val="midCat"/>
      </c:valAx>
      <c:valAx>
        <c:axId val="835845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358297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Средний годовой уровень на участке</c:v>
          </c:tx>
          <c:marker>
            <c:symbol val="none"/>
          </c:marker>
          <c:trendline>
            <c:spPr>
              <a:ln w="15875">
                <a:solidFill>
                  <a:schemeClr val="tx2">
                    <a:lumMod val="75000"/>
                  </a:schemeClr>
                </a:solidFill>
                <a:prstDash val="dash"/>
              </a:ln>
            </c:spPr>
            <c:trendlineType val="linear"/>
            <c:dispRSqr val="0"/>
            <c:dispEq val="0"/>
          </c:trendline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участкам'!$G$6:$G$38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13568"/>
        <c:axId val="83615104"/>
      </c:scatterChart>
      <c:valAx>
        <c:axId val="83613568"/>
        <c:scaling>
          <c:orientation val="minMax"/>
          <c:max val="2018"/>
          <c:min val="198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83615104"/>
        <c:crosses val="autoZero"/>
        <c:crossBetween val="midCat"/>
      </c:valAx>
      <c:valAx>
        <c:axId val="836151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3613568"/>
        <c:crosses val="autoZero"/>
        <c:crossBetween val="midCat"/>
      </c:valAx>
    </c:plotArea>
    <c:legend>
      <c:legendPos val="b"/>
      <c:legendEntry>
        <c:idx val="1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Среднегодовой уровень воды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участкам'!$G$6:$G$38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897728"/>
        <c:axId val="83907712"/>
      </c:scatterChart>
      <c:valAx>
        <c:axId val="8389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907712"/>
        <c:crosses val="autoZero"/>
        <c:crossBetween val="midCat"/>
      </c:valAx>
      <c:valAx>
        <c:axId val="839077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38977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Максимальный уровень воды</c:v>
          </c:tx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участкам'!$H$6:$H$38</c:f>
              <c:numCache>
                <c:formatCode>0.00</c:formatCode>
                <c:ptCount val="33"/>
                <c:pt idx="0">
                  <c:v>15.34</c:v>
                </c:pt>
                <c:pt idx="1">
                  <c:v>15.379999999999999</c:v>
                </c:pt>
                <c:pt idx="2">
                  <c:v>15.59</c:v>
                </c:pt>
                <c:pt idx="3">
                  <c:v>15.23</c:v>
                </c:pt>
                <c:pt idx="4">
                  <c:v>15.31</c:v>
                </c:pt>
                <c:pt idx="5">
                  <c:v>16.04</c:v>
                </c:pt>
                <c:pt idx="6">
                  <c:v>15.21</c:v>
                </c:pt>
                <c:pt idx="7">
                  <c:v>15.219999999999999</c:v>
                </c:pt>
                <c:pt idx="8">
                  <c:v>15.34</c:v>
                </c:pt>
                <c:pt idx="9">
                  <c:v>15.58</c:v>
                </c:pt>
                <c:pt idx="10">
                  <c:v>15.280000000000001</c:v>
                </c:pt>
                <c:pt idx="11">
                  <c:v>15.5</c:v>
                </c:pt>
                <c:pt idx="12">
                  <c:v>15.39</c:v>
                </c:pt>
                <c:pt idx="13">
                  <c:v>15.25</c:v>
                </c:pt>
                <c:pt idx="14">
                  <c:v>15.31</c:v>
                </c:pt>
                <c:pt idx="15">
                  <c:v>15.600000000000001</c:v>
                </c:pt>
                <c:pt idx="16">
                  <c:v>15.3</c:v>
                </c:pt>
                <c:pt idx="17">
                  <c:v>15.370000000000001</c:v>
                </c:pt>
                <c:pt idx="18">
                  <c:v>15.32</c:v>
                </c:pt>
                <c:pt idx="19">
                  <c:v>15.77</c:v>
                </c:pt>
                <c:pt idx="20">
                  <c:v>15.5</c:v>
                </c:pt>
                <c:pt idx="21">
                  <c:v>15.41</c:v>
                </c:pt>
                <c:pt idx="22">
                  <c:v>15.690000000000001</c:v>
                </c:pt>
                <c:pt idx="23">
                  <c:v>15.45</c:v>
                </c:pt>
                <c:pt idx="24">
                  <c:v>15.600000000000001</c:v>
                </c:pt>
                <c:pt idx="25">
                  <c:v>15.49</c:v>
                </c:pt>
                <c:pt idx="26">
                  <c:v>15.52</c:v>
                </c:pt>
                <c:pt idx="27">
                  <c:v>15.370000000000001</c:v>
                </c:pt>
                <c:pt idx="28">
                  <c:v>15.45</c:v>
                </c:pt>
                <c:pt idx="29">
                  <c:v>15.18</c:v>
                </c:pt>
                <c:pt idx="30">
                  <c:v>15.600000000000001</c:v>
                </c:pt>
                <c:pt idx="31">
                  <c:v>15.45</c:v>
                </c:pt>
                <c:pt idx="32">
                  <c:v>15.2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6384"/>
        <c:axId val="83937920"/>
      </c:scatterChart>
      <c:valAx>
        <c:axId val="8393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937920"/>
        <c:crosses val="autoZero"/>
        <c:crossBetween val="midCat"/>
      </c:valAx>
      <c:valAx>
        <c:axId val="8393792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839363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81811833601614"/>
          <c:y val="4.5877482629371323E-2"/>
          <c:w val="0.83078884294641842"/>
          <c:h val="0.77568199933484927"/>
        </c:manualLayout>
      </c:layout>
      <c:scatterChart>
        <c:scatterStyle val="lineMarker"/>
        <c:varyColors val="0"/>
        <c:ser>
          <c:idx val="1"/>
          <c:order val="1"/>
          <c:tx>
            <c:v>Среднегодовой уровень воды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участкам'!$G$6:$G$38</c:f>
              <c:numCache>
                <c:formatCode>0.00</c:formatCode>
                <c:ptCount val="33"/>
                <c:pt idx="0">
                  <c:v>14.350000000000001</c:v>
                </c:pt>
                <c:pt idx="1">
                  <c:v>14.45</c:v>
                </c:pt>
                <c:pt idx="2">
                  <c:v>14.605</c:v>
                </c:pt>
                <c:pt idx="3">
                  <c:v>14.335000000000001</c:v>
                </c:pt>
                <c:pt idx="4">
                  <c:v>14.795</c:v>
                </c:pt>
                <c:pt idx="5">
                  <c:v>14.719999999999999</c:v>
                </c:pt>
                <c:pt idx="6">
                  <c:v>14.719999999999999</c:v>
                </c:pt>
                <c:pt idx="7">
                  <c:v>14.635000000000002</c:v>
                </c:pt>
                <c:pt idx="8">
                  <c:v>14.655000000000001</c:v>
                </c:pt>
                <c:pt idx="9">
                  <c:v>14.75</c:v>
                </c:pt>
                <c:pt idx="10">
                  <c:v>14.524999999999999</c:v>
                </c:pt>
                <c:pt idx="11">
                  <c:v>14.685</c:v>
                </c:pt>
                <c:pt idx="12">
                  <c:v>14.68</c:v>
                </c:pt>
                <c:pt idx="13">
                  <c:v>14.654999999999999</c:v>
                </c:pt>
                <c:pt idx="14">
                  <c:v>14.75</c:v>
                </c:pt>
                <c:pt idx="15">
                  <c:v>14.895</c:v>
                </c:pt>
                <c:pt idx="16">
                  <c:v>14.825000000000001</c:v>
                </c:pt>
                <c:pt idx="17">
                  <c:v>14.89</c:v>
                </c:pt>
                <c:pt idx="18">
                  <c:v>14.805</c:v>
                </c:pt>
                <c:pt idx="19">
                  <c:v>14.93</c:v>
                </c:pt>
                <c:pt idx="20">
                  <c:v>14.81</c:v>
                </c:pt>
                <c:pt idx="21">
                  <c:v>14.79</c:v>
                </c:pt>
                <c:pt idx="22">
                  <c:v>14.73</c:v>
                </c:pt>
                <c:pt idx="23">
                  <c:v>14.705</c:v>
                </c:pt>
                <c:pt idx="24">
                  <c:v>14.365</c:v>
                </c:pt>
                <c:pt idx="25">
                  <c:v>14.405000000000001</c:v>
                </c:pt>
                <c:pt idx="26">
                  <c:v>14.625</c:v>
                </c:pt>
                <c:pt idx="27">
                  <c:v>14.755000000000001</c:v>
                </c:pt>
                <c:pt idx="28">
                  <c:v>14.52</c:v>
                </c:pt>
                <c:pt idx="29">
                  <c:v>14.55</c:v>
                </c:pt>
                <c:pt idx="30">
                  <c:v>14.785</c:v>
                </c:pt>
                <c:pt idx="31">
                  <c:v>14.78</c:v>
                </c:pt>
                <c:pt idx="32">
                  <c:v>14.64</c:v>
                </c:pt>
              </c:numCache>
            </c:numRef>
          </c:yVal>
          <c:smooth val="0"/>
        </c:ser>
        <c:ser>
          <c:idx val="0"/>
          <c:order val="0"/>
          <c:tx>
            <c:v>Максимальный уровень воды</c:v>
          </c:tx>
          <c:spPr>
            <a:ln>
              <a:solidFill>
                <a:srgbClr val="B00000"/>
              </a:solidFill>
            </a:ln>
          </c:spPr>
          <c:marker>
            <c:symbol val="none"/>
          </c:marker>
          <c:xVal>
            <c:numRef>
              <c:f>'Данные по участкам'!$B$6:$B$38</c:f>
              <c:numCache>
                <c:formatCode>General</c:formatCode>
                <c:ptCount val="33"/>
                <c:pt idx="0">
                  <c:v>1986</c:v>
                </c:pt>
                <c:pt idx="1">
                  <c:v>1987</c:v>
                </c:pt>
                <c:pt idx="2">
                  <c:v>1988</c:v>
                </c:pt>
                <c:pt idx="3">
                  <c:v>1989</c:v>
                </c:pt>
                <c:pt idx="4">
                  <c:v>1990</c:v>
                </c:pt>
                <c:pt idx="5">
                  <c:v>1991</c:v>
                </c:pt>
                <c:pt idx="6">
                  <c:v>1992</c:v>
                </c:pt>
                <c:pt idx="7">
                  <c:v>1993</c:v>
                </c:pt>
                <c:pt idx="8">
                  <c:v>1994</c:v>
                </c:pt>
                <c:pt idx="9">
                  <c:v>1995</c:v>
                </c:pt>
                <c:pt idx="10">
                  <c:v>1996</c:v>
                </c:pt>
                <c:pt idx="11">
                  <c:v>1997</c:v>
                </c:pt>
                <c:pt idx="12">
                  <c:v>1998</c:v>
                </c:pt>
                <c:pt idx="13">
                  <c:v>1999</c:v>
                </c:pt>
                <c:pt idx="14">
                  <c:v>2000</c:v>
                </c:pt>
                <c:pt idx="15">
                  <c:v>2001</c:v>
                </c:pt>
                <c:pt idx="16">
                  <c:v>2002</c:v>
                </c:pt>
                <c:pt idx="17">
                  <c:v>2003</c:v>
                </c:pt>
                <c:pt idx="18">
                  <c:v>2004</c:v>
                </c:pt>
                <c:pt idx="19">
                  <c:v>2005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</c:numCache>
            </c:numRef>
          </c:xVal>
          <c:yVal>
            <c:numRef>
              <c:f>'Данные по участкам'!$H$6:$H$38</c:f>
              <c:numCache>
                <c:formatCode>0.00</c:formatCode>
                <c:ptCount val="33"/>
                <c:pt idx="0">
                  <c:v>15.34</c:v>
                </c:pt>
                <c:pt idx="1">
                  <c:v>15.379999999999999</c:v>
                </c:pt>
                <c:pt idx="2">
                  <c:v>15.59</c:v>
                </c:pt>
                <c:pt idx="3">
                  <c:v>15.23</c:v>
                </c:pt>
                <c:pt idx="4">
                  <c:v>15.31</c:v>
                </c:pt>
                <c:pt idx="5">
                  <c:v>16.04</c:v>
                </c:pt>
                <c:pt idx="6">
                  <c:v>15.21</c:v>
                </c:pt>
                <c:pt idx="7">
                  <c:v>15.219999999999999</c:v>
                </c:pt>
                <c:pt idx="8">
                  <c:v>15.34</c:v>
                </c:pt>
                <c:pt idx="9">
                  <c:v>15.58</c:v>
                </c:pt>
                <c:pt idx="10">
                  <c:v>15.280000000000001</c:v>
                </c:pt>
                <c:pt idx="11">
                  <c:v>15.5</c:v>
                </c:pt>
                <c:pt idx="12">
                  <c:v>15.39</c:v>
                </c:pt>
                <c:pt idx="13">
                  <c:v>15.25</c:v>
                </c:pt>
                <c:pt idx="14">
                  <c:v>15.31</c:v>
                </c:pt>
                <c:pt idx="15">
                  <c:v>15.600000000000001</c:v>
                </c:pt>
                <c:pt idx="16">
                  <c:v>15.3</c:v>
                </c:pt>
                <c:pt idx="17">
                  <c:v>15.370000000000001</c:v>
                </c:pt>
                <c:pt idx="18">
                  <c:v>15.32</c:v>
                </c:pt>
                <c:pt idx="19">
                  <c:v>15.77</c:v>
                </c:pt>
                <c:pt idx="20">
                  <c:v>15.5</c:v>
                </c:pt>
                <c:pt idx="21">
                  <c:v>15.41</c:v>
                </c:pt>
                <c:pt idx="22">
                  <c:v>15.690000000000001</c:v>
                </c:pt>
                <c:pt idx="23">
                  <c:v>15.45</c:v>
                </c:pt>
                <c:pt idx="24">
                  <c:v>15.600000000000001</c:v>
                </c:pt>
                <c:pt idx="25">
                  <c:v>15.49</c:v>
                </c:pt>
                <c:pt idx="26">
                  <c:v>15.52</c:v>
                </c:pt>
                <c:pt idx="27">
                  <c:v>15.370000000000001</c:v>
                </c:pt>
                <c:pt idx="28">
                  <c:v>15.45</c:v>
                </c:pt>
                <c:pt idx="29">
                  <c:v>15.18</c:v>
                </c:pt>
                <c:pt idx="30">
                  <c:v>15.600000000000001</c:v>
                </c:pt>
                <c:pt idx="31">
                  <c:v>15.45</c:v>
                </c:pt>
                <c:pt idx="32">
                  <c:v>15.2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85728"/>
        <c:axId val="83395712"/>
      </c:scatterChart>
      <c:valAx>
        <c:axId val="83385728"/>
        <c:scaling>
          <c:orientation val="minMax"/>
          <c:max val="2018"/>
          <c:min val="1986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Times New Roman" pitchFamily="18" charset="0"/>
                <a:cs typeface="Times New Roman" pitchFamily="18" charset="0"/>
              </a:defRPr>
            </a:pPr>
            <a:endParaRPr lang="ru-RU"/>
          </a:p>
        </c:txPr>
        <c:crossAx val="83395712"/>
        <c:crosses val="autoZero"/>
        <c:crossBetween val="midCat"/>
      </c:valAx>
      <c:valAx>
        <c:axId val="83395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ru-RU" sz="1100" b="0">
                    <a:latin typeface="Times New Roman" pitchFamily="18" charset="0"/>
                    <a:cs typeface="Times New Roman" pitchFamily="18" charset="0"/>
                  </a:rPr>
                  <a:t>Высотная</a:t>
                </a:r>
                <a:r>
                  <a:rPr lang="ru-RU" sz="1100" b="0" baseline="0">
                    <a:latin typeface="Times New Roman" pitchFamily="18" charset="0"/>
                    <a:cs typeface="Times New Roman" pitchFamily="18" charset="0"/>
                  </a:rPr>
                  <a:t> отметка, м Абс.</a:t>
                </a:r>
                <a:endParaRPr lang="ru-RU" sz="1100" b="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2.5870649198478399E-3"/>
              <c:y val="0.13165195484923198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Times New Roman" pitchFamily="18" charset="0"/>
                <a:cs typeface="Times New Roman" pitchFamily="18" charset="0"/>
              </a:defRPr>
            </a:pPr>
            <a:endParaRPr lang="ru-RU"/>
          </a:p>
        </c:txPr>
        <c:crossAx val="83385728"/>
        <c:crosses val="autoZero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1000">
              <a:latin typeface="Times New Roman" pitchFamily="18" charset="0"/>
              <a:cs typeface="Times New Roman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73270</xdr:colOff>
      <xdr:row>5</xdr:row>
      <xdr:rowOff>87923</xdr:rowOff>
    </xdr:from>
    <xdr:to>
      <xdr:col>16</xdr:col>
      <xdr:colOff>388328</xdr:colOff>
      <xdr:row>19</xdr:row>
      <xdr:rowOff>161192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608134</xdr:colOff>
      <xdr:row>5</xdr:row>
      <xdr:rowOff>73269</xdr:rowOff>
    </xdr:from>
    <xdr:to>
      <xdr:col>24</xdr:col>
      <xdr:colOff>315057</xdr:colOff>
      <xdr:row>19</xdr:row>
      <xdr:rowOff>146538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5</xdr:row>
      <xdr:rowOff>0</xdr:rowOff>
    </xdr:from>
    <xdr:to>
      <xdr:col>32</xdr:col>
      <xdr:colOff>315057</xdr:colOff>
      <xdr:row>19</xdr:row>
      <xdr:rowOff>73269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315058</xdr:colOff>
      <xdr:row>35</xdr:row>
      <xdr:rowOff>73269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608134</xdr:colOff>
      <xdr:row>21</xdr:row>
      <xdr:rowOff>0</xdr:rowOff>
    </xdr:from>
    <xdr:to>
      <xdr:col>24</xdr:col>
      <xdr:colOff>315057</xdr:colOff>
      <xdr:row>35</xdr:row>
      <xdr:rowOff>73269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16</xdr:col>
      <xdr:colOff>315058</xdr:colOff>
      <xdr:row>52</xdr:row>
      <xdr:rowOff>73269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608134</xdr:colOff>
      <xdr:row>38</xdr:row>
      <xdr:rowOff>0</xdr:rowOff>
    </xdr:from>
    <xdr:to>
      <xdr:col>24</xdr:col>
      <xdr:colOff>315057</xdr:colOff>
      <xdr:row>52</xdr:row>
      <xdr:rowOff>73269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38</xdr:row>
      <xdr:rowOff>0</xdr:rowOff>
    </xdr:from>
    <xdr:to>
      <xdr:col>32</xdr:col>
      <xdr:colOff>315057</xdr:colOff>
      <xdr:row>52</xdr:row>
      <xdr:rowOff>73269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53</xdr:row>
      <xdr:rowOff>0</xdr:rowOff>
    </xdr:from>
    <xdr:to>
      <xdr:col>16</xdr:col>
      <xdr:colOff>315058</xdr:colOff>
      <xdr:row>67</xdr:row>
      <xdr:rowOff>73269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70</xdr:row>
      <xdr:rowOff>0</xdr:rowOff>
    </xdr:from>
    <xdr:to>
      <xdr:col>16</xdr:col>
      <xdr:colOff>315058</xdr:colOff>
      <xdr:row>84</xdr:row>
      <xdr:rowOff>73269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608134</xdr:colOff>
      <xdr:row>70</xdr:row>
      <xdr:rowOff>0</xdr:rowOff>
    </xdr:from>
    <xdr:to>
      <xdr:col>24</xdr:col>
      <xdr:colOff>315057</xdr:colOff>
      <xdr:row>84</xdr:row>
      <xdr:rowOff>73269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0</xdr:colOff>
      <xdr:row>70</xdr:row>
      <xdr:rowOff>0</xdr:rowOff>
    </xdr:from>
    <xdr:to>
      <xdr:col>32</xdr:col>
      <xdr:colOff>315057</xdr:colOff>
      <xdr:row>84</xdr:row>
      <xdr:rowOff>73269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85</xdr:row>
      <xdr:rowOff>0</xdr:rowOff>
    </xdr:from>
    <xdr:to>
      <xdr:col>16</xdr:col>
      <xdr:colOff>315058</xdr:colOff>
      <xdr:row>99</xdr:row>
      <xdr:rowOff>73269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146538</xdr:colOff>
      <xdr:row>41</xdr:row>
      <xdr:rowOff>163390</xdr:rowOff>
    </xdr:from>
    <xdr:to>
      <xdr:col>7</xdr:col>
      <xdr:colOff>461596</xdr:colOff>
      <xdr:row>56</xdr:row>
      <xdr:rowOff>49090</xdr:rowOff>
    </xdr:to>
    <xdr:graphicFrame macro="">
      <xdr:nvGraphicFramePr>
        <xdr:cNvPr id="16" name="Диаграмма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234462</xdr:colOff>
      <xdr:row>58</xdr:row>
      <xdr:rowOff>7327</xdr:rowOff>
    </xdr:from>
    <xdr:to>
      <xdr:col>7</xdr:col>
      <xdr:colOff>549520</xdr:colOff>
      <xdr:row>72</xdr:row>
      <xdr:rowOff>83527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205154</xdr:colOff>
      <xdr:row>73</xdr:row>
      <xdr:rowOff>109903</xdr:rowOff>
    </xdr:from>
    <xdr:to>
      <xdr:col>8</xdr:col>
      <xdr:colOff>249115</xdr:colOff>
      <xdr:row>89</xdr:row>
      <xdr:rowOff>131884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9"/>
  <sheetViews>
    <sheetView topLeftCell="H46" zoomScale="130" zoomScaleNormal="130" workbookViewId="0">
      <selection activeCell="R47" sqref="R47"/>
    </sheetView>
  </sheetViews>
  <sheetFormatPr defaultRowHeight="15" x14ac:dyDescent="0.25"/>
  <cols>
    <col min="2" max="2" width="11.42578125" customWidth="1"/>
    <col min="11" max="11" width="10.5703125" customWidth="1"/>
  </cols>
  <sheetData>
    <row r="1" spans="1:18" ht="21" x14ac:dyDescent="0.35">
      <c r="A1" s="1" t="s">
        <v>11</v>
      </c>
    </row>
    <row r="3" spans="1:18" x14ac:dyDescent="0.25">
      <c r="A3" s="23" t="s">
        <v>12</v>
      </c>
      <c r="B3" s="25" t="s">
        <v>0</v>
      </c>
      <c r="C3" s="22" t="s">
        <v>1</v>
      </c>
      <c r="D3" s="22"/>
      <c r="E3" s="22" t="s">
        <v>2</v>
      </c>
      <c r="F3" s="22"/>
      <c r="G3" s="22" t="s">
        <v>3</v>
      </c>
      <c r="H3" s="22"/>
      <c r="I3" s="22" t="s">
        <v>4</v>
      </c>
      <c r="J3" s="22"/>
      <c r="K3" s="22" t="s">
        <v>5</v>
      </c>
      <c r="L3" s="22"/>
      <c r="M3" s="22" t="s">
        <v>6</v>
      </c>
      <c r="N3" s="22"/>
      <c r="O3" s="22" t="s">
        <v>7</v>
      </c>
      <c r="P3" s="22"/>
      <c r="Q3" s="22" t="s">
        <v>8</v>
      </c>
      <c r="R3" s="22"/>
    </row>
    <row r="4" spans="1:18" x14ac:dyDescent="0.25">
      <c r="A4" s="24"/>
      <c r="B4" s="25"/>
      <c r="C4" s="3" t="s">
        <v>9</v>
      </c>
      <c r="D4" s="3" t="s">
        <v>10</v>
      </c>
      <c r="E4" s="3" t="s">
        <v>9</v>
      </c>
      <c r="F4" s="3" t="s">
        <v>10</v>
      </c>
      <c r="G4" s="3" t="s">
        <v>9</v>
      </c>
      <c r="H4" s="3" t="s">
        <v>10</v>
      </c>
      <c r="I4" s="3" t="s">
        <v>9</v>
      </c>
      <c r="J4" s="3" t="s">
        <v>10</v>
      </c>
      <c r="K4" s="3" t="s">
        <v>9</v>
      </c>
      <c r="L4" s="3" t="s">
        <v>10</v>
      </c>
      <c r="M4" s="3" t="s">
        <v>9</v>
      </c>
      <c r="N4" s="3" t="s">
        <v>10</v>
      </c>
      <c r="O4" s="3" t="s">
        <v>9</v>
      </c>
      <c r="P4" s="3" t="s">
        <v>10</v>
      </c>
      <c r="Q4" s="3" t="s">
        <v>9</v>
      </c>
      <c r="R4" s="3" t="s">
        <v>10</v>
      </c>
    </row>
    <row r="6" spans="1:18" x14ac:dyDescent="0.25">
      <c r="A6" s="2">
        <v>1</v>
      </c>
      <c r="B6" s="2">
        <v>1986</v>
      </c>
      <c r="C6">
        <v>694</v>
      </c>
      <c r="D6">
        <v>1138</v>
      </c>
      <c r="E6">
        <v>636</v>
      </c>
      <c r="F6">
        <v>1022</v>
      </c>
      <c r="G6">
        <v>529</v>
      </c>
      <c r="H6">
        <v>792</v>
      </c>
      <c r="I6">
        <v>469</v>
      </c>
      <c r="J6">
        <v>624</v>
      </c>
      <c r="K6">
        <v>439</v>
      </c>
      <c r="L6">
        <v>534</v>
      </c>
      <c r="M6">
        <v>435</v>
      </c>
      <c r="N6">
        <v>528</v>
      </c>
      <c r="O6">
        <v>432</v>
      </c>
      <c r="P6">
        <v>522</v>
      </c>
      <c r="Q6">
        <v>431</v>
      </c>
      <c r="R6">
        <v>529</v>
      </c>
    </row>
    <row r="7" spans="1:18" x14ac:dyDescent="0.25">
      <c r="A7" s="2">
        <f>A6+1</f>
        <v>2</v>
      </c>
      <c r="B7" s="2">
        <f>B6+1</f>
        <v>1987</v>
      </c>
      <c r="C7">
        <v>695</v>
      </c>
      <c r="D7">
        <v>1098</v>
      </c>
      <c r="E7">
        <v>636</v>
      </c>
      <c r="F7">
        <v>995</v>
      </c>
      <c r="G7">
        <v>534</v>
      </c>
      <c r="H7">
        <v>774</v>
      </c>
      <c r="I7">
        <v>480</v>
      </c>
      <c r="J7">
        <v>631</v>
      </c>
      <c r="K7">
        <v>451</v>
      </c>
      <c r="L7">
        <v>538</v>
      </c>
      <c r="M7">
        <v>447</v>
      </c>
      <c r="N7">
        <v>527</v>
      </c>
      <c r="O7">
        <v>443</v>
      </c>
      <c r="P7">
        <v>530</v>
      </c>
      <c r="Q7">
        <v>439</v>
      </c>
      <c r="R7">
        <v>532</v>
      </c>
    </row>
    <row r="8" spans="1:18" x14ac:dyDescent="0.25">
      <c r="A8" s="2">
        <f t="shared" ref="A8:A38" si="0">A7+1</f>
        <v>3</v>
      </c>
      <c r="B8" s="2">
        <f t="shared" ref="B8:B38" si="1">B7+1</f>
        <v>1988</v>
      </c>
      <c r="M8">
        <v>445</v>
      </c>
      <c r="N8">
        <v>520</v>
      </c>
      <c r="O8">
        <v>442</v>
      </c>
      <c r="P8">
        <v>519</v>
      </c>
      <c r="Q8">
        <v>439</v>
      </c>
      <c r="R8">
        <v>517</v>
      </c>
    </row>
    <row r="9" spans="1:18" x14ac:dyDescent="0.25">
      <c r="A9" s="2">
        <f t="shared" si="0"/>
        <v>4</v>
      </c>
      <c r="B9" s="2">
        <f t="shared" si="1"/>
        <v>1989</v>
      </c>
      <c r="C9">
        <v>588</v>
      </c>
      <c r="D9">
        <v>1093</v>
      </c>
      <c r="E9">
        <v>566</v>
      </c>
      <c r="F9">
        <v>1002</v>
      </c>
      <c r="G9">
        <v>483</v>
      </c>
      <c r="H9">
        <v>750</v>
      </c>
      <c r="I9">
        <v>456</v>
      </c>
      <c r="J9">
        <v>577</v>
      </c>
      <c r="K9">
        <v>437</v>
      </c>
      <c r="L9">
        <v>522</v>
      </c>
      <c r="M9">
        <v>436</v>
      </c>
      <c r="N9">
        <v>523</v>
      </c>
      <c r="O9">
        <v>432</v>
      </c>
      <c r="P9">
        <v>517</v>
      </c>
      <c r="Q9">
        <v>430</v>
      </c>
      <c r="R9">
        <v>516</v>
      </c>
    </row>
    <row r="10" spans="1:18" x14ac:dyDescent="0.25">
      <c r="A10" s="2">
        <f t="shared" si="0"/>
        <v>5</v>
      </c>
      <c r="B10" s="2">
        <f t="shared" si="1"/>
        <v>1990</v>
      </c>
      <c r="C10">
        <v>709</v>
      </c>
      <c r="D10">
        <v>1094</v>
      </c>
      <c r="E10">
        <v>675</v>
      </c>
      <c r="F10">
        <v>992</v>
      </c>
      <c r="G10">
        <v>573</v>
      </c>
      <c r="H10">
        <v>770</v>
      </c>
      <c r="I10">
        <v>516</v>
      </c>
      <c r="J10">
        <v>600</v>
      </c>
      <c r="K10">
        <v>486</v>
      </c>
      <c r="L10">
        <v>531</v>
      </c>
      <c r="M10">
        <v>478</v>
      </c>
      <c r="N10">
        <v>519</v>
      </c>
      <c r="O10">
        <v>473</v>
      </c>
      <c r="P10">
        <v>517</v>
      </c>
      <c r="Q10">
        <v>473</v>
      </c>
      <c r="R10">
        <v>519</v>
      </c>
    </row>
    <row r="11" spans="1:18" x14ac:dyDescent="0.25">
      <c r="A11" s="2">
        <f t="shared" si="0"/>
        <v>6</v>
      </c>
      <c r="B11" s="2">
        <f t="shared" si="1"/>
        <v>1991</v>
      </c>
      <c r="C11">
        <v>709</v>
      </c>
      <c r="D11">
        <v>1257</v>
      </c>
      <c r="E11">
        <v>670</v>
      </c>
      <c r="F11">
        <v>1155</v>
      </c>
      <c r="G11">
        <v>568</v>
      </c>
      <c r="H11">
        <v>878</v>
      </c>
      <c r="I11">
        <v>509</v>
      </c>
      <c r="J11">
        <v>703</v>
      </c>
      <c r="K11">
        <v>479</v>
      </c>
      <c r="L11">
        <v>604</v>
      </c>
      <c r="M11">
        <v>471</v>
      </c>
      <c r="N11">
        <v>565</v>
      </c>
      <c r="O11">
        <v>467</v>
      </c>
      <c r="P11">
        <v>563</v>
      </c>
      <c r="Q11">
        <v>465</v>
      </c>
      <c r="R11">
        <v>560</v>
      </c>
    </row>
    <row r="12" spans="1:18" x14ac:dyDescent="0.25">
      <c r="A12" s="2">
        <f t="shared" si="0"/>
        <v>7</v>
      </c>
      <c r="B12" s="2">
        <f t="shared" si="1"/>
        <v>1992</v>
      </c>
      <c r="C12">
        <v>655</v>
      </c>
      <c r="D12">
        <v>1061</v>
      </c>
      <c r="E12">
        <v>626</v>
      </c>
      <c r="F12">
        <v>979</v>
      </c>
      <c r="G12">
        <v>540</v>
      </c>
      <c r="H12">
        <v>760</v>
      </c>
      <c r="I12">
        <v>498</v>
      </c>
      <c r="J12">
        <v>603</v>
      </c>
      <c r="K12">
        <v>477</v>
      </c>
      <c r="L12">
        <v>521</v>
      </c>
      <c r="M12">
        <v>471</v>
      </c>
      <c r="N12">
        <v>514</v>
      </c>
      <c r="O12">
        <v>470</v>
      </c>
      <c r="P12">
        <v>514</v>
      </c>
      <c r="Q12">
        <v>467</v>
      </c>
      <c r="R12">
        <v>511</v>
      </c>
    </row>
    <row r="13" spans="1:18" x14ac:dyDescent="0.25">
      <c r="A13" s="2">
        <f t="shared" si="0"/>
        <v>8</v>
      </c>
      <c r="B13" s="2">
        <f t="shared" si="1"/>
        <v>1993</v>
      </c>
      <c r="C13">
        <v>671</v>
      </c>
      <c r="D13">
        <v>1055</v>
      </c>
      <c r="E13">
        <v>644</v>
      </c>
      <c r="F13">
        <v>970</v>
      </c>
      <c r="G13">
        <v>543</v>
      </c>
      <c r="H13">
        <v>750</v>
      </c>
      <c r="I13">
        <v>494</v>
      </c>
      <c r="J13">
        <v>589</v>
      </c>
      <c r="K13">
        <v>469</v>
      </c>
      <c r="L13">
        <v>522</v>
      </c>
      <c r="M13">
        <v>463</v>
      </c>
      <c r="N13">
        <v>510</v>
      </c>
      <c r="O13">
        <v>459</v>
      </c>
      <c r="P13">
        <v>512</v>
      </c>
      <c r="Q13">
        <v>458</v>
      </c>
      <c r="R13">
        <v>510</v>
      </c>
    </row>
    <row r="14" spans="1:18" x14ac:dyDescent="0.25">
      <c r="A14" s="2">
        <f t="shared" si="0"/>
        <v>9</v>
      </c>
      <c r="B14" s="2">
        <f t="shared" si="1"/>
        <v>1994</v>
      </c>
      <c r="C14">
        <v>738</v>
      </c>
      <c r="D14">
        <v>1170</v>
      </c>
      <c r="E14">
        <v>690</v>
      </c>
      <c r="F14">
        <v>1033</v>
      </c>
      <c r="G14">
        <v>571</v>
      </c>
      <c r="H14">
        <v>784</v>
      </c>
      <c r="I14">
        <v>509</v>
      </c>
      <c r="J14">
        <v>606</v>
      </c>
      <c r="K14">
        <v>474</v>
      </c>
      <c r="L14">
        <v>534</v>
      </c>
      <c r="M14">
        <v>461</v>
      </c>
      <c r="N14">
        <v>513</v>
      </c>
      <c r="O14">
        <v>458</v>
      </c>
      <c r="P14">
        <v>513</v>
      </c>
      <c r="Q14">
        <v>457</v>
      </c>
      <c r="R14">
        <v>510</v>
      </c>
    </row>
    <row r="15" spans="1:18" x14ac:dyDescent="0.25">
      <c r="A15" s="2">
        <f t="shared" si="0"/>
        <v>10</v>
      </c>
      <c r="B15" s="2">
        <f t="shared" si="1"/>
        <v>1995</v>
      </c>
      <c r="C15">
        <v>671</v>
      </c>
      <c r="D15">
        <v>1193</v>
      </c>
      <c r="E15">
        <v>637</v>
      </c>
      <c r="F15">
        <v>1072</v>
      </c>
      <c r="G15">
        <v>554</v>
      </c>
      <c r="H15">
        <v>832</v>
      </c>
      <c r="I15">
        <v>505</v>
      </c>
      <c r="J15">
        <v>656</v>
      </c>
      <c r="K15">
        <v>481</v>
      </c>
      <c r="L15">
        <v>558</v>
      </c>
      <c r="M15">
        <v>470</v>
      </c>
      <c r="N15">
        <v>518</v>
      </c>
      <c r="O15">
        <v>469</v>
      </c>
      <c r="P15">
        <v>527</v>
      </c>
      <c r="Q15">
        <v>469</v>
      </c>
      <c r="R15">
        <v>527</v>
      </c>
    </row>
    <row r="16" spans="1:18" x14ac:dyDescent="0.25">
      <c r="A16" s="2">
        <f t="shared" si="0"/>
        <v>11</v>
      </c>
      <c r="B16" s="2">
        <f t="shared" si="1"/>
        <v>1996</v>
      </c>
      <c r="C16">
        <v>560</v>
      </c>
      <c r="D16">
        <v>965</v>
      </c>
      <c r="E16">
        <v>537</v>
      </c>
      <c r="F16">
        <v>844</v>
      </c>
      <c r="G16">
        <v>487</v>
      </c>
      <c r="H16">
        <v>674</v>
      </c>
      <c r="I16">
        <v>463</v>
      </c>
      <c r="J16">
        <v>547</v>
      </c>
      <c r="K16">
        <v>454</v>
      </c>
      <c r="L16">
        <v>528</v>
      </c>
      <c r="M16">
        <v>451</v>
      </c>
      <c r="N16">
        <v>525</v>
      </c>
      <c r="O16">
        <v>452</v>
      </c>
      <c r="P16">
        <v>526</v>
      </c>
      <c r="Q16">
        <v>451</v>
      </c>
      <c r="R16">
        <v>526</v>
      </c>
    </row>
    <row r="17" spans="1:18" x14ac:dyDescent="0.25">
      <c r="A17" s="2">
        <f t="shared" si="0"/>
        <v>12</v>
      </c>
      <c r="B17" s="2">
        <f t="shared" si="1"/>
        <v>1997</v>
      </c>
      <c r="C17">
        <v>625</v>
      </c>
      <c r="D17">
        <v>1096</v>
      </c>
      <c r="E17">
        <v>601</v>
      </c>
      <c r="F17">
        <v>984</v>
      </c>
      <c r="G17">
        <v>531</v>
      </c>
      <c r="H17">
        <v>764</v>
      </c>
      <c r="I17">
        <v>492</v>
      </c>
      <c r="J17">
        <v>611</v>
      </c>
      <c r="K17">
        <v>473</v>
      </c>
      <c r="L17">
        <v>550</v>
      </c>
      <c r="M17">
        <v>468</v>
      </c>
      <c r="N17">
        <v>518</v>
      </c>
      <c r="O17">
        <v>466</v>
      </c>
      <c r="P17">
        <v>513</v>
      </c>
      <c r="Q17">
        <v>464</v>
      </c>
      <c r="R17">
        <v>508</v>
      </c>
    </row>
    <row r="18" spans="1:18" x14ac:dyDescent="0.25">
      <c r="A18" s="2">
        <f t="shared" si="0"/>
        <v>13</v>
      </c>
      <c r="B18" s="2">
        <f t="shared" si="1"/>
        <v>1998</v>
      </c>
      <c r="C18">
        <v>676</v>
      </c>
      <c r="D18">
        <v>1120</v>
      </c>
      <c r="E18">
        <v>638</v>
      </c>
      <c r="F18">
        <v>1013</v>
      </c>
      <c r="G18">
        <v>551</v>
      </c>
      <c r="H18">
        <v>782</v>
      </c>
      <c r="I18">
        <v>501</v>
      </c>
      <c r="J18">
        <v>618</v>
      </c>
      <c r="K18">
        <v>475</v>
      </c>
      <c r="L18">
        <v>539</v>
      </c>
      <c r="M18">
        <v>467</v>
      </c>
      <c r="N18">
        <v>512</v>
      </c>
      <c r="O18">
        <v>464</v>
      </c>
      <c r="P18">
        <v>506</v>
      </c>
      <c r="Q18">
        <v>461</v>
      </c>
      <c r="R18">
        <v>502</v>
      </c>
    </row>
    <row r="19" spans="1:18" x14ac:dyDescent="0.25">
      <c r="A19" s="2">
        <f t="shared" si="0"/>
        <v>14</v>
      </c>
      <c r="B19" s="2">
        <f t="shared" si="1"/>
        <v>1999</v>
      </c>
      <c r="C19">
        <v>684</v>
      </c>
      <c r="D19">
        <v>1099</v>
      </c>
      <c r="E19">
        <v>645</v>
      </c>
      <c r="F19">
        <v>1022</v>
      </c>
      <c r="G19">
        <v>556</v>
      </c>
      <c r="H19">
        <v>784</v>
      </c>
      <c r="I19">
        <v>502</v>
      </c>
      <c r="J19">
        <v>584</v>
      </c>
      <c r="K19">
        <v>472</v>
      </c>
      <c r="L19">
        <v>525</v>
      </c>
      <c r="M19">
        <v>464</v>
      </c>
      <c r="N19">
        <v>521</v>
      </c>
      <c r="O19">
        <v>461</v>
      </c>
      <c r="P19">
        <v>515</v>
      </c>
      <c r="Q19">
        <v>459</v>
      </c>
      <c r="R19">
        <v>513</v>
      </c>
    </row>
    <row r="20" spans="1:18" x14ac:dyDescent="0.25">
      <c r="A20" s="2">
        <f t="shared" si="0"/>
        <v>15</v>
      </c>
      <c r="B20" s="2">
        <f t="shared" si="1"/>
        <v>2000</v>
      </c>
      <c r="C20">
        <v>628</v>
      </c>
      <c r="D20">
        <v>1080</v>
      </c>
      <c r="E20">
        <v>600</v>
      </c>
      <c r="F20">
        <v>992</v>
      </c>
      <c r="G20">
        <v>531</v>
      </c>
      <c r="H20">
        <v>768</v>
      </c>
      <c r="I20">
        <v>498</v>
      </c>
      <c r="J20">
        <v>614</v>
      </c>
      <c r="K20">
        <v>476</v>
      </c>
      <c r="L20">
        <v>531</v>
      </c>
      <c r="M20">
        <v>476</v>
      </c>
      <c r="N20">
        <v>517</v>
      </c>
      <c r="O20">
        <v>474</v>
      </c>
      <c r="P20">
        <v>518</v>
      </c>
      <c r="Q20">
        <v>474</v>
      </c>
      <c r="R20">
        <v>518</v>
      </c>
    </row>
    <row r="21" spans="1:18" x14ac:dyDescent="0.25">
      <c r="A21" s="2">
        <f t="shared" si="0"/>
        <v>16</v>
      </c>
      <c r="B21" s="2">
        <f t="shared" si="1"/>
        <v>2001</v>
      </c>
      <c r="D21">
        <v>1148</v>
      </c>
      <c r="E21">
        <v>640</v>
      </c>
      <c r="F21">
        <v>1051</v>
      </c>
      <c r="G21">
        <v>580</v>
      </c>
      <c r="H21">
        <v>825</v>
      </c>
      <c r="I21">
        <v>517</v>
      </c>
      <c r="J21">
        <v>661</v>
      </c>
      <c r="K21">
        <v>492</v>
      </c>
      <c r="L21">
        <v>560</v>
      </c>
      <c r="M21">
        <v>490</v>
      </c>
      <c r="N21">
        <v>532</v>
      </c>
      <c r="O21">
        <v>485</v>
      </c>
      <c r="P21">
        <v>527</v>
      </c>
      <c r="Q21">
        <v>487</v>
      </c>
      <c r="R21">
        <v>514</v>
      </c>
    </row>
    <row r="22" spans="1:18" x14ac:dyDescent="0.25">
      <c r="A22" s="2">
        <f t="shared" si="0"/>
        <v>17</v>
      </c>
      <c r="B22" s="2">
        <f t="shared" si="1"/>
        <v>2002</v>
      </c>
      <c r="C22">
        <v>652</v>
      </c>
      <c r="D22">
        <v>1076</v>
      </c>
      <c r="E22">
        <v>631</v>
      </c>
      <c r="F22">
        <v>996</v>
      </c>
      <c r="G22">
        <v>554</v>
      </c>
      <c r="H22">
        <v>780</v>
      </c>
      <c r="I22">
        <v>510</v>
      </c>
      <c r="J22">
        <v>617</v>
      </c>
      <c r="K22">
        <v>485</v>
      </c>
      <c r="L22">
        <v>529</v>
      </c>
      <c r="M22">
        <v>484</v>
      </c>
      <c r="N22">
        <v>524</v>
      </c>
      <c r="O22">
        <v>481</v>
      </c>
      <c r="P22">
        <v>530</v>
      </c>
      <c r="Q22">
        <v>480</v>
      </c>
      <c r="R22">
        <v>528</v>
      </c>
    </row>
    <row r="23" spans="1:18" x14ac:dyDescent="0.25">
      <c r="A23" s="2">
        <f t="shared" si="0"/>
        <v>18</v>
      </c>
      <c r="B23" s="2">
        <f t="shared" si="1"/>
        <v>2003</v>
      </c>
      <c r="C23">
        <v>632</v>
      </c>
      <c r="D23">
        <v>1092</v>
      </c>
      <c r="E23">
        <v>611</v>
      </c>
      <c r="F23">
        <v>991</v>
      </c>
      <c r="G23">
        <v>552</v>
      </c>
      <c r="H23">
        <v>784</v>
      </c>
      <c r="I23">
        <v>511</v>
      </c>
      <c r="J23">
        <v>616</v>
      </c>
      <c r="K23">
        <v>492</v>
      </c>
      <c r="L23">
        <v>537</v>
      </c>
      <c r="M23">
        <v>491</v>
      </c>
      <c r="N23">
        <v>524</v>
      </c>
      <c r="O23">
        <v>486</v>
      </c>
      <c r="P23">
        <v>518</v>
      </c>
      <c r="Q23">
        <v>486</v>
      </c>
      <c r="R23">
        <v>517</v>
      </c>
    </row>
    <row r="24" spans="1:18" x14ac:dyDescent="0.25">
      <c r="A24" s="2">
        <f t="shared" si="0"/>
        <v>19</v>
      </c>
      <c r="B24" s="2">
        <f t="shared" si="1"/>
        <v>2004</v>
      </c>
      <c r="C24">
        <v>638</v>
      </c>
      <c r="D24">
        <v>1100</v>
      </c>
      <c r="E24">
        <v>624</v>
      </c>
      <c r="F24">
        <v>1014</v>
      </c>
      <c r="G24">
        <v>552</v>
      </c>
      <c r="H24">
        <v>784</v>
      </c>
      <c r="I24">
        <v>503</v>
      </c>
      <c r="J24">
        <v>609</v>
      </c>
      <c r="K24">
        <v>483</v>
      </c>
      <c r="L24">
        <v>532</v>
      </c>
      <c r="M24">
        <v>479</v>
      </c>
      <c r="N24">
        <v>527</v>
      </c>
      <c r="O24">
        <v>476</v>
      </c>
      <c r="P24">
        <v>528</v>
      </c>
      <c r="Q24">
        <v>478</v>
      </c>
      <c r="R24">
        <v>530</v>
      </c>
    </row>
    <row r="25" spans="1:18" x14ac:dyDescent="0.25">
      <c r="A25" s="2">
        <f t="shared" si="0"/>
        <v>20</v>
      </c>
      <c r="B25" s="2">
        <f t="shared" si="1"/>
        <v>2005</v>
      </c>
      <c r="C25">
        <v>668</v>
      </c>
      <c r="D25">
        <v>1166</v>
      </c>
      <c r="E25">
        <v>662</v>
      </c>
      <c r="F25">
        <v>1110</v>
      </c>
      <c r="G25">
        <v>575</v>
      </c>
      <c r="H25">
        <v>842</v>
      </c>
      <c r="I25">
        <v>519</v>
      </c>
      <c r="J25">
        <v>669</v>
      </c>
      <c r="K25">
        <v>496</v>
      </c>
      <c r="L25">
        <v>577</v>
      </c>
      <c r="M25">
        <v>488</v>
      </c>
      <c r="N25">
        <v>532</v>
      </c>
      <c r="O25">
        <v>487</v>
      </c>
      <c r="P25">
        <v>544</v>
      </c>
      <c r="Q25">
        <v>490</v>
      </c>
      <c r="R25">
        <v>537</v>
      </c>
    </row>
    <row r="26" spans="1:18" x14ac:dyDescent="0.25">
      <c r="A26" s="2">
        <f t="shared" si="0"/>
        <v>21</v>
      </c>
      <c r="B26" s="2">
        <f t="shared" si="1"/>
        <v>2006</v>
      </c>
      <c r="C26">
        <v>584</v>
      </c>
      <c r="D26">
        <v>985</v>
      </c>
      <c r="E26">
        <v>575</v>
      </c>
      <c r="F26">
        <v>922</v>
      </c>
      <c r="G26">
        <v>529</v>
      </c>
      <c r="H26">
        <v>726</v>
      </c>
      <c r="I26">
        <v>493</v>
      </c>
      <c r="J26">
        <v>595</v>
      </c>
      <c r="K26">
        <v>482</v>
      </c>
      <c r="L26">
        <v>550</v>
      </c>
      <c r="M26">
        <v>475</v>
      </c>
      <c r="N26">
        <v>533</v>
      </c>
      <c r="O26">
        <v>479</v>
      </c>
      <c r="P26">
        <v>529</v>
      </c>
      <c r="Q26">
        <v>480</v>
      </c>
      <c r="R26">
        <v>531</v>
      </c>
    </row>
    <row r="27" spans="1:18" x14ac:dyDescent="0.25">
      <c r="A27" s="2">
        <f t="shared" si="0"/>
        <v>22</v>
      </c>
      <c r="B27" s="2">
        <f t="shared" si="1"/>
        <v>2007</v>
      </c>
      <c r="C27">
        <v>666</v>
      </c>
      <c r="D27">
        <v>1095</v>
      </c>
      <c r="E27">
        <v>652</v>
      </c>
      <c r="F27">
        <v>992</v>
      </c>
      <c r="G27">
        <v>572</v>
      </c>
      <c r="H27">
        <v>786</v>
      </c>
      <c r="I27">
        <v>508</v>
      </c>
      <c r="J27">
        <v>629</v>
      </c>
      <c r="K27">
        <v>483</v>
      </c>
      <c r="L27">
        <v>541</v>
      </c>
      <c r="M27">
        <v>473</v>
      </c>
      <c r="N27">
        <v>517</v>
      </c>
      <c r="O27">
        <v>475</v>
      </c>
      <c r="P27">
        <v>521</v>
      </c>
      <c r="Q27">
        <v>475</v>
      </c>
      <c r="R27">
        <v>521</v>
      </c>
    </row>
    <row r="28" spans="1:18" x14ac:dyDescent="0.25">
      <c r="A28" s="2">
        <f t="shared" si="0"/>
        <v>23</v>
      </c>
      <c r="B28" s="2">
        <f t="shared" si="1"/>
        <v>2008</v>
      </c>
      <c r="C28">
        <v>606</v>
      </c>
      <c r="D28">
        <v>1116</v>
      </c>
      <c r="E28">
        <v>599</v>
      </c>
      <c r="F28">
        <v>1012</v>
      </c>
      <c r="G28">
        <v>537</v>
      </c>
      <c r="H28">
        <v>791</v>
      </c>
      <c r="I28">
        <v>495</v>
      </c>
      <c r="J28">
        <v>627</v>
      </c>
      <c r="K28">
        <v>474</v>
      </c>
      <c r="L28">
        <v>569</v>
      </c>
      <c r="M28">
        <v>469</v>
      </c>
      <c r="N28">
        <v>546</v>
      </c>
      <c r="O28">
        <v>472</v>
      </c>
      <c r="P28">
        <v>546</v>
      </c>
      <c r="Q28">
        <v>472</v>
      </c>
      <c r="R28">
        <v>549</v>
      </c>
    </row>
    <row r="29" spans="1:18" x14ac:dyDescent="0.25">
      <c r="A29" s="2">
        <f t="shared" si="0"/>
        <v>24</v>
      </c>
      <c r="B29" s="2">
        <f t="shared" si="1"/>
        <v>2009</v>
      </c>
      <c r="C29">
        <v>616</v>
      </c>
      <c r="D29">
        <v>1110</v>
      </c>
      <c r="E29">
        <v>606</v>
      </c>
      <c r="F29">
        <v>988</v>
      </c>
      <c r="G29">
        <v>538</v>
      </c>
      <c r="H29">
        <v>770</v>
      </c>
      <c r="I29">
        <v>493</v>
      </c>
      <c r="J29">
        <v>610</v>
      </c>
      <c r="K29">
        <v>473</v>
      </c>
      <c r="L29">
        <v>545</v>
      </c>
      <c r="M29">
        <v>468</v>
      </c>
      <c r="N29">
        <v>529</v>
      </c>
      <c r="O29">
        <v>470</v>
      </c>
      <c r="P29">
        <v>524</v>
      </c>
      <c r="Q29">
        <v>468</v>
      </c>
      <c r="R29">
        <v>524</v>
      </c>
    </row>
    <row r="30" spans="1:18" x14ac:dyDescent="0.25">
      <c r="A30" s="2">
        <f t="shared" si="0"/>
        <v>25</v>
      </c>
      <c r="B30" s="2">
        <f t="shared" si="1"/>
        <v>2010</v>
      </c>
      <c r="C30">
        <v>572</v>
      </c>
      <c r="D30">
        <v>1107</v>
      </c>
      <c r="E30">
        <v>548</v>
      </c>
      <c r="F30">
        <v>990</v>
      </c>
      <c r="G30">
        <v>490</v>
      </c>
      <c r="H30">
        <v>776</v>
      </c>
      <c r="I30">
        <v>454</v>
      </c>
      <c r="J30">
        <v>611</v>
      </c>
      <c r="K30">
        <v>437</v>
      </c>
      <c r="L30">
        <v>560</v>
      </c>
      <c r="M30">
        <v>433</v>
      </c>
      <c r="N30">
        <v>546</v>
      </c>
      <c r="O30">
        <v>435</v>
      </c>
      <c r="P30">
        <v>542</v>
      </c>
      <c r="Q30">
        <v>436</v>
      </c>
      <c r="R30">
        <v>530</v>
      </c>
    </row>
    <row r="31" spans="1:18" x14ac:dyDescent="0.25">
      <c r="A31" s="2">
        <f t="shared" si="0"/>
        <v>26</v>
      </c>
      <c r="B31" s="2">
        <f t="shared" si="1"/>
        <v>2011</v>
      </c>
      <c r="C31">
        <v>571</v>
      </c>
      <c r="D31">
        <v>1072</v>
      </c>
      <c r="E31">
        <v>547</v>
      </c>
      <c r="F31">
        <v>980</v>
      </c>
      <c r="G31">
        <v>490</v>
      </c>
      <c r="H31">
        <v>771</v>
      </c>
      <c r="I31">
        <v>456</v>
      </c>
      <c r="J31">
        <v>614</v>
      </c>
      <c r="K31">
        <v>439</v>
      </c>
      <c r="L31">
        <v>549</v>
      </c>
      <c r="M31">
        <v>436</v>
      </c>
      <c r="N31">
        <v>523</v>
      </c>
      <c r="O31">
        <v>439</v>
      </c>
      <c r="P31">
        <v>522</v>
      </c>
      <c r="Q31">
        <v>442</v>
      </c>
      <c r="R31">
        <v>528</v>
      </c>
    </row>
    <row r="32" spans="1:18" x14ac:dyDescent="0.25">
      <c r="A32" s="2">
        <f t="shared" si="0"/>
        <v>27</v>
      </c>
      <c r="B32" s="2">
        <f t="shared" si="1"/>
        <v>2012</v>
      </c>
      <c r="C32">
        <v>612</v>
      </c>
      <c r="D32">
        <v>1133</v>
      </c>
      <c r="E32">
        <v>582</v>
      </c>
      <c r="F32">
        <v>992</v>
      </c>
      <c r="G32">
        <v>519</v>
      </c>
      <c r="H32">
        <v>758</v>
      </c>
      <c r="I32">
        <v>483</v>
      </c>
      <c r="J32">
        <v>615</v>
      </c>
      <c r="K32">
        <v>465</v>
      </c>
      <c r="L32">
        <v>552</v>
      </c>
      <c r="M32">
        <v>460</v>
      </c>
      <c r="N32">
        <v>537</v>
      </c>
      <c r="O32">
        <v>460</v>
      </c>
      <c r="P32">
        <v>532</v>
      </c>
      <c r="Q32">
        <v>460</v>
      </c>
      <c r="R32">
        <v>532</v>
      </c>
    </row>
    <row r="33" spans="1:37" x14ac:dyDescent="0.25">
      <c r="A33" s="2">
        <f t="shared" si="0"/>
        <v>28</v>
      </c>
      <c r="B33" s="2">
        <f t="shared" si="1"/>
        <v>2013</v>
      </c>
      <c r="C33">
        <v>664</v>
      </c>
      <c r="D33">
        <v>1123</v>
      </c>
      <c r="E33">
        <v>621</v>
      </c>
      <c r="F33">
        <v>1016</v>
      </c>
      <c r="G33">
        <v>548</v>
      </c>
      <c r="H33">
        <v>773</v>
      </c>
      <c r="I33">
        <v>503</v>
      </c>
      <c r="J33">
        <v>593</v>
      </c>
      <c r="K33">
        <v>482</v>
      </c>
      <c r="L33">
        <v>537</v>
      </c>
      <c r="M33">
        <v>470</v>
      </c>
      <c r="N33">
        <v>520</v>
      </c>
      <c r="O33">
        <v>469</v>
      </c>
      <c r="P33">
        <v>516</v>
      </c>
      <c r="Q33">
        <v>469</v>
      </c>
      <c r="R33">
        <v>517</v>
      </c>
    </row>
    <row r="34" spans="1:37" x14ac:dyDescent="0.25">
      <c r="A34" s="2">
        <f t="shared" si="0"/>
        <v>29</v>
      </c>
      <c r="B34" s="2">
        <f t="shared" si="1"/>
        <v>2014</v>
      </c>
      <c r="C34">
        <v>607</v>
      </c>
      <c r="D34">
        <v>1031</v>
      </c>
      <c r="E34">
        <v>569</v>
      </c>
      <c r="F34">
        <v>936</v>
      </c>
      <c r="G34">
        <v>499</v>
      </c>
      <c r="H34">
        <v>736</v>
      </c>
      <c r="I34">
        <v>471</v>
      </c>
      <c r="J34">
        <v>567</v>
      </c>
      <c r="K34">
        <v>455</v>
      </c>
      <c r="L34">
        <v>521</v>
      </c>
      <c r="M34">
        <v>449</v>
      </c>
      <c r="N34">
        <v>521</v>
      </c>
      <c r="O34">
        <v>449</v>
      </c>
      <c r="P34">
        <v>545</v>
      </c>
      <c r="Q34">
        <v>449</v>
      </c>
      <c r="R34">
        <v>540</v>
      </c>
    </row>
    <row r="35" spans="1:37" x14ac:dyDescent="0.25">
      <c r="A35" s="2">
        <f t="shared" si="0"/>
        <v>30</v>
      </c>
      <c r="B35" s="2">
        <f t="shared" si="1"/>
        <v>2015</v>
      </c>
      <c r="C35">
        <v>580</v>
      </c>
      <c r="D35">
        <v>844</v>
      </c>
      <c r="E35">
        <v>549</v>
      </c>
      <c r="F35">
        <v>804</v>
      </c>
      <c r="G35">
        <v>489</v>
      </c>
      <c r="H35">
        <v>656</v>
      </c>
      <c r="I35">
        <v>469</v>
      </c>
      <c r="J35">
        <v>547</v>
      </c>
      <c r="K35">
        <v>458</v>
      </c>
      <c r="L35">
        <v>518</v>
      </c>
      <c r="M35">
        <v>450</v>
      </c>
      <c r="N35">
        <v>513</v>
      </c>
      <c r="O35">
        <v>450</v>
      </c>
      <c r="P35">
        <v>513</v>
      </c>
      <c r="Q35">
        <v>452</v>
      </c>
      <c r="R35">
        <v>517</v>
      </c>
    </row>
    <row r="36" spans="1:37" x14ac:dyDescent="0.25">
      <c r="A36" s="2">
        <f t="shared" si="0"/>
        <v>31</v>
      </c>
      <c r="B36" s="2">
        <f t="shared" si="1"/>
        <v>2016</v>
      </c>
      <c r="C36">
        <v>645</v>
      </c>
      <c r="D36">
        <v>1168</v>
      </c>
      <c r="E36">
        <v>617</v>
      </c>
      <c r="F36">
        <v>1103</v>
      </c>
      <c r="G36">
        <v>543</v>
      </c>
      <c r="H36">
        <v>844</v>
      </c>
      <c r="I36">
        <v>504</v>
      </c>
      <c r="J36">
        <v>658</v>
      </c>
      <c r="K36">
        <v>484</v>
      </c>
      <c r="L36">
        <v>560</v>
      </c>
      <c r="M36">
        <v>473</v>
      </c>
      <c r="N36">
        <v>520</v>
      </c>
      <c r="O36">
        <v>472</v>
      </c>
      <c r="P36">
        <v>514</v>
      </c>
      <c r="Q36">
        <v>473</v>
      </c>
      <c r="R36">
        <v>516</v>
      </c>
    </row>
    <row r="37" spans="1:37" x14ac:dyDescent="0.25">
      <c r="A37" s="2">
        <f t="shared" si="0"/>
        <v>32</v>
      </c>
      <c r="B37" s="2">
        <f t="shared" si="1"/>
        <v>2017</v>
      </c>
      <c r="C37">
        <v>657</v>
      </c>
      <c r="D37">
        <v>1072</v>
      </c>
      <c r="E37">
        <v>633</v>
      </c>
      <c r="F37">
        <v>980</v>
      </c>
      <c r="G37">
        <v>554</v>
      </c>
      <c r="H37">
        <v>774</v>
      </c>
      <c r="I37">
        <v>504</v>
      </c>
      <c r="J37">
        <v>617</v>
      </c>
      <c r="K37">
        <v>484</v>
      </c>
      <c r="L37">
        <v>545</v>
      </c>
      <c r="M37">
        <v>473</v>
      </c>
      <c r="N37">
        <v>527</v>
      </c>
      <c r="O37">
        <v>473</v>
      </c>
      <c r="P37">
        <v>531</v>
      </c>
      <c r="Q37">
        <v>472</v>
      </c>
      <c r="R37">
        <v>528</v>
      </c>
    </row>
    <row r="38" spans="1:37" x14ac:dyDescent="0.25">
      <c r="A38" s="2">
        <f t="shared" si="0"/>
        <v>33</v>
      </c>
      <c r="B38" s="2">
        <f t="shared" si="1"/>
        <v>2018</v>
      </c>
      <c r="C38">
        <v>647</v>
      </c>
      <c r="D38">
        <v>1138</v>
      </c>
      <c r="E38">
        <v>624</v>
      </c>
      <c r="F38">
        <v>1030</v>
      </c>
      <c r="G38">
        <v>522</v>
      </c>
      <c r="H38">
        <v>766</v>
      </c>
      <c r="I38">
        <v>488</v>
      </c>
      <c r="J38">
        <v>591</v>
      </c>
      <c r="K38">
        <v>470</v>
      </c>
      <c r="L38">
        <v>520</v>
      </c>
      <c r="M38">
        <v>458</v>
      </c>
      <c r="N38">
        <v>509</v>
      </c>
      <c r="O38">
        <v>457</v>
      </c>
      <c r="P38">
        <v>513</v>
      </c>
      <c r="Q38">
        <v>458</v>
      </c>
      <c r="R38">
        <v>513</v>
      </c>
    </row>
    <row r="40" spans="1:37" x14ac:dyDescent="0.25">
      <c r="A40" s="5" t="s">
        <v>13</v>
      </c>
      <c r="C40" s="7">
        <f>SUM(C6:C38)/31</f>
        <v>642.58064516129036</v>
      </c>
      <c r="D40" s="9">
        <f>SUM(D6:D38)/32</f>
        <v>1096.71875</v>
      </c>
      <c r="E40" s="7">
        <f t="shared" ref="E40:L40" si="2">SUM(E6:E38)/32</f>
        <v>615.34375</v>
      </c>
      <c r="F40" s="9">
        <f t="shared" si="2"/>
        <v>999.4375</v>
      </c>
      <c r="G40" s="7">
        <f t="shared" si="2"/>
        <v>537.3125</v>
      </c>
      <c r="H40" s="9">
        <f t="shared" si="2"/>
        <v>775.125</v>
      </c>
      <c r="I40" s="7">
        <f t="shared" si="2"/>
        <v>492.90625</v>
      </c>
      <c r="J40" s="9">
        <f t="shared" si="2"/>
        <v>612.78125</v>
      </c>
      <c r="K40" s="7">
        <f t="shared" si="2"/>
        <v>471.15625</v>
      </c>
      <c r="L40" s="9">
        <f t="shared" si="2"/>
        <v>541.84375</v>
      </c>
      <c r="M40" s="7">
        <f>SUM(M6:M38)/33</f>
        <v>464.30303030303031</v>
      </c>
      <c r="N40" s="9">
        <f t="shared" ref="N40:R40" si="3">SUM(N6:N38)/33</f>
        <v>524.5454545454545</v>
      </c>
      <c r="O40" s="7">
        <f t="shared" si="3"/>
        <v>462.93939393939394</v>
      </c>
      <c r="P40" s="9">
        <f t="shared" si="3"/>
        <v>524.4545454545455</v>
      </c>
      <c r="Q40" s="7">
        <f t="shared" si="3"/>
        <v>462.54545454545456</v>
      </c>
      <c r="R40" s="9">
        <f t="shared" si="3"/>
        <v>523.33333333333337</v>
      </c>
    </row>
    <row r="41" spans="1:37" x14ac:dyDescent="0.25">
      <c r="A41" s="5" t="s">
        <v>14</v>
      </c>
      <c r="C41" s="8">
        <f>MAX(C6:C38)</f>
        <v>738</v>
      </c>
      <c r="D41" s="10">
        <f t="shared" ref="D41:R41" si="4">MAX(D6:D38)</f>
        <v>1257</v>
      </c>
      <c r="E41" s="8">
        <f t="shared" si="4"/>
        <v>690</v>
      </c>
      <c r="F41" s="10">
        <f t="shared" si="4"/>
        <v>1155</v>
      </c>
      <c r="G41" s="8">
        <f t="shared" si="4"/>
        <v>580</v>
      </c>
      <c r="H41" s="10">
        <f t="shared" si="4"/>
        <v>878</v>
      </c>
      <c r="I41" s="8">
        <f t="shared" si="4"/>
        <v>519</v>
      </c>
      <c r="J41" s="10">
        <f t="shared" si="4"/>
        <v>703</v>
      </c>
      <c r="K41" s="8">
        <f t="shared" si="4"/>
        <v>496</v>
      </c>
      <c r="L41" s="10">
        <f t="shared" si="4"/>
        <v>604</v>
      </c>
      <c r="M41" s="8">
        <f t="shared" si="4"/>
        <v>491</v>
      </c>
      <c r="N41" s="10">
        <f t="shared" si="4"/>
        <v>565</v>
      </c>
      <c r="O41" s="8">
        <f t="shared" si="4"/>
        <v>487</v>
      </c>
      <c r="P41" s="10">
        <f t="shared" si="4"/>
        <v>563</v>
      </c>
      <c r="Q41" s="8">
        <f t="shared" si="4"/>
        <v>490</v>
      </c>
      <c r="R41" s="10">
        <f t="shared" si="4"/>
        <v>560</v>
      </c>
    </row>
    <row r="42" spans="1:37" x14ac:dyDescent="0.25">
      <c r="B42" s="6" t="s">
        <v>15</v>
      </c>
      <c r="C42" s="8">
        <v>1994</v>
      </c>
      <c r="D42" s="10">
        <v>1991</v>
      </c>
      <c r="E42" s="8">
        <v>1994</v>
      </c>
      <c r="F42" s="10">
        <v>1991</v>
      </c>
      <c r="G42" s="8">
        <v>2001</v>
      </c>
      <c r="H42" s="10">
        <v>1991</v>
      </c>
      <c r="I42" s="8">
        <v>2005</v>
      </c>
      <c r="J42" s="10">
        <v>1991</v>
      </c>
      <c r="K42" s="8">
        <v>2005</v>
      </c>
      <c r="L42" s="10">
        <v>1991</v>
      </c>
      <c r="M42" s="8">
        <v>2003</v>
      </c>
      <c r="N42" s="10">
        <v>1991</v>
      </c>
      <c r="O42" s="8">
        <v>2005</v>
      </c>
      <c r="P42" s="10">
        <v>1991</v>
      </c>
      <c r="Q42" s="8">
        <v>2005</v>
      </c>
      <c r="R42" s="10">
        <v>1991</v>
      </c>
    </row>
    <row r="43" spans="1:37" x14ac:dyDescent="0.25">
      <c r="A43" s="5" t="s">
        <v>16</v>
      </c>
      <c r="C43" s="8">
        <f>MIN(C6:C38)</f>
        <v>560</v>
      </c>
      <c r="D43" s="10">
        <f t="shared" ref="D43:R43" si="5">MIN(D6:D38)</f>
        <v>844</v>
      </c>
      <c r="E43" s="8">
        <f t="shared" si="5"/>
        <v>537</v>
      </c>
      <c r="F43" s="10">
        <f t="shared" si="5"/>
        <v>804</v>
      </c>
      <c r="G43" s="8">
        <f t="shared" si="5"/>
        <v>483</v>
      </c>
      <c r="H43" s="10">
        <f t="shared" si="5"/>
        <v>656</v>
      </c>
      <c r="I43" s="8">
        <f t="shared" si="5"/>
        <v>454</v>
      </c>
      <c r="J43" s="10">
        <f t="shared" si="5"/>
        <v>547</v>
      </c>
      <c r="K43" s="8">
        <f t="shared" si="5"/>
        <v>437</v>
      </c>
      <c r="L43" s="10">
        <f t="shared" si="5"/>
        <v>518</v>
      </c>
      <c r="M43" s="8">
        <f t="shared" si="5"/>
        <v>433</v>
      </c>
      <c r="N43" s="10">
        <f t="shared" si="5"/>
        <v>509</v>
      </c>
      <c r="O43" s="8">
        <f t="shared" si="5"/>
        <v>432</v>
      </c>
      <c r="P43" s="10">
        <f t="shared" si="5"/>
        <v>506</v>
      </c>
      <c r="Q43" s="8">
        <f t="shared" si="5"/>
        <v>430</v>
      </c>
      <c r="R43" s="10">
        <f t="shared" si="5"/>
        <v>502</v>
      </c>
    </row>
    <row r="44" spans="1:37" x14ac:dyDescent="0.25">
      <c r="B44" s="6" t="s">
        <v>15</v>
      </c>
      <c r="C44" s="8">
        <v>1996</v>
      </c>
      <c r="D44" s="10">
        <v>2015</v>
      </c>
      <c r="E44" s="8">
        <v>1996</v>
      </c>
      <c r="F44" s="10">
        <v>2015</v>
      </c>
      <c r="G44" s="8">
        <v>1989</v>
      </c>
      <c r="H44" s="10">
        <v>2015</v>
      </c>
      <c r="I44" s="8">
        <v>2010</v>
      </c>
      <c r="J44" s="10">
        <v>2015</v>
      </c>
      <c r="K44" s="8" t="s">
        <v>17</v>
      </c>
      <c r="L44" s="10">
        <v>2015</v>
      </c>
      <c r="M44" s="8">
        <v>2010</v>
      </c>
      <c r="N44" s="10">
        <v>2018</v>
      </c>
      <c r="O44" s="8" t="s">
        <v>18</v>
      </c>
      <c r="P44" s="10">
        <v>1998</v>
      </c>
      <c r="Q44" s="8">
        <v>1989</v>
      </c>
      <c r="R44" s="10">
        <v>1998</v>
      </c>
    </row>
    <row r="46" spans="1:37" ht="21" x14ac:dyDescent="0.35">
      <c r="A46" s="1" t="s">
        <v>19</v>
      </c>
      <c r="T46" s="16" t="s">
        <v>24</v>
      </c>
    </row>
    <row r="47" spans="1:37" ht="27.75" x14ac:dyDescent="0.45">
      <c r="A47" s="16" t="s">
        <v>25</v>
      </c>
    </row>
    <row r="48" spans="1:37" x14ac:dyDescent="0.25">
      <c r="A48" s="23" t="s">
        <v>12</v>
      </c>
      <c r="B48" s="25" t="s">
        <v>0</v>
      </c>
      <c r="C48" s="22" t="s">
        <v>1</v>
      </c>
      <c r="D48" s="22"/>
      <c r="E48" s="22" t="s">
        <v>2</v>
      </c>
      <c r="F48" s="22"/>
      <c r="G48" s="22" t="s">
        <v>3</v>
      </c>
      <c r="H48" s="22"/>
      <c r="I48" s="22" t="s">
        <v>4</v>
      </c>
      <c r="J48" s="22"/>
      <c r="K48" s="22" t="s">
        <v>5</v>
      </c>
      <c r="L48" s="22"/>
      <c r="M48" s="22" t="s">
        <v>6</v>
      </c>
      <c r="N48" s="22"/>
      <c r="O48" s="22" t="s">
        <v>7</v>
      </c>
      <c r="P48" s="22"/>
      <c r="Q48" s="22" t="s">
        <v>8</v>
      </c>
      <c r="R48" s="22"/>
      <c r="T48" s="23" t="s">
        <v>12</v>
      </c>
      <c r="U48" s="25" t="s">
        <v>0</v>
      </c>
      <c r="V48" s="22" t="s">
        <v>1</v>
      </c>
      <c r="W48" s="22"/>
      <c r="X48" s="22" t="s">
        <v>2</v>
      </c>
      <c r="Y48" s="22"/>
      <c r="Z48" s="22" t="s">
        <v>3</v>
      </c>
      <c r="AA48" s="22"/>
      <c r="AB48" s="22" t="s">
        <v>4</v>
      </c>
      <c r="AC48" s="22"/>
      <c r="AD48" s="22" t="s">
        <v>5</v>
      </c>
      <c r="AE48" s="22"/>
      <c r="AF48" s="22" t="s">
        <v>6</v>
      </c>
      <c r="AG48" s="22"/>
      <c r="AH48" s="22" t="s">
        <v>7</v>
      </c>
      <c r="AI48" s="22"/>
      <c r="AJ48" s="22" t="s">
        <v>8</v>
      </c>
      <c r="AK48" s="22"/>
    </row>
    <row r="49" spans="1:37" x14ac:dyDescent="0.25">
      <c r="A49" s="24"/>
      <c r="B49" s="25"/>
      <c r="C49" s="3" t="s">
        <v>9</v>
      </c>
      <c r="D49" s="3" t="s">
        <v>10</v>
      </c>
      <c r="E49" s="3" t="s">
        <v>9</v>
      </c>
      <c r="F49" s="3" t="s">
        <v>10</v>
      </c>
      <c r="G49" s="3" t="s">
        <v>9</v>
      </c>
      <c r="H49" s="3" t="s">
        <v>10</v>
      </c>
      <c r="I49" s="3" t="s">
        <v>9</v>
      </c>
      <c r="J49" s="3" t="s">
        <v>10</v>
      </c>
      <c r="K49" s="3" t="s">
        <v>9</v>
      </c>
      <c r="L49" s="3" t="s">
        <v>10</v>
      </c>
      <c r="M49" s="3" t="s">
        <v>9</v>
      </c>
      <c r="N49" s="3" t="s">
        <v>10</v>
      </c>
      <c r="O49" s="3" t="s">
        <v>9</v>
      </c>
      <c r="P49" s="3" t="s">
        <v>10</v>
      </c>
      <c r="Q49" s="3" t="s">
        <v>9</v>
      </c>
      <c r="R49" s="3" t="s">
        <v>10</v>
      </c>
      <c r="T49" s="24"/>
      <c r="U49" s="25"/>
      <c r="V49" s="3" t="s">
        <v>9</v>
      </c>
      <c r="W49" s="3" t="s">
        <v>10</v>
      </c>
      <c r="X49" s="3" t="s">
        <v>9</v>
      </c>
      <c r="Y49" s="3" t="s">
        <v>10</v>
      </c>
      <c r="Z49" s="3" t="s">
        <v>9</v>
      </c>
      <c r="AA49" s="3" t="s">
        <v>10</v>
      </c>
      <c r="AB49" s="3" t="s">
        <v>9</v>
      </c>
      <c r="AC49" s="3" t="s">
        <v>10</v>
      </c>
      <c r="AD49" s="3" t="s">
        <v>9</v>
      </c>
      <c r="AE49" s="3" t="s">
        <v>10</v>
      </c>
      <c r="AF49" s="3" t="s">
        <v>9</v>
      </c>
      <c r="AG49" s="3" t="s">
        <v>10</v>
      </c>
      <c r="AH49" s="3" t="s">
        <v>9</v>
      </c>
      <c r="AI49" s="3" t="s">
        <v>10</v>
      </c>
      <c r="AJ49" s="3" t="s">
        <v>9</v>
      </c>
      <c r="AK49" s="3" t="s">
        <v>10</v>
      </c>
    </row>
    <row r="51" spans="1:37" x14ac:dyDescent="0.25">
      <c r="A51" s="2">
        <f>A6</f>
        <v>1</v>
      </c>
      <c r="B51" s="2">
        <f>B6</f>
        <v>1986</v>
      </c>
      <c r="C51" s="4">
        <f>IF(ISNUMBER(C6),10+0.01*C6,V51)</f>
        <v>16.940000000000001</v>
      </c>
      <c r="D51" s="4">
        <f t="shared" ref="D51:L51" si="6">IF(ISNUMBER(D6),10+0.01*D6,W51)</f>
        <v>21.380000000000003</v>
      </c>
      <c r="E51" s="4">
        <f t="shared" si="6"/>
        <v>16.36</v>
      </c>
      <c r="F51" s="4">
        <f t="shared" si="6"/>
        <v>20.22</v>
      </c>
      <c r="G51" s="4">
        <f t="shared" si="6"/>
        <v>15.29</v>
      </c>
      <c r="H51" s="4">
        <f t="shared" si="6"/>
        <v>17.920000000000002</v>
      </c>
      <c r="I51" s="4">
        <f t="shared" si="6"/>
        <v>14.690000000000001</v>
      </c>
      <c r="J51" s="4">
        <f t="shared" si="6"/>
        <v>16.240000000000002</v>
      </c>
      <c r="K51" s="4">
        <f t="shared" si="6"/>
        <v>14.39</v>
      </c>
      <c r="L51" s="4">
        <f t="shared" si="6"/>
        <v>15.34</v>
      </c>
      <c r="M51" s="4">
        <f t="shared" ref="M51:R51" si="7">IF(ISNUMBER(M6),10+0.01*M6,"")</f>
        <v>14.350000000000001</v>
      </c>
      <c r="N51" s="4">
        <f t="shared" si="7"/>
        <v>15.280000000000001</v>
      </c>
      <c r="O51" s="4">
        <f t="shared" si="7"/>
        <v>14.32</v>
      </c>
      <c r="P51" s="4">
        <f t="shared" si="7"/>
        <v>15.219999999999999</v>
      </c>
      <c r="Q51" s="4">
        <f t="shared" si="7"/>
        <v>14.31</v>
      </c>
      <c r="R51" s="4">
        <f t="shared" si="7"/>
        <v>15.29</v>
      </c>
      <c r="T51" s="2">
        <v>1</v>
      </c>
      <c r="U51" s="2">
        <v>1986</v>
      </c>
    </row>
    <row r="52" spans="1:37" x14ac:dyDescent="0.25">
      <c r="A52" s="2">
        <f>A7</f>
        <v>2</v>
      </c>
      <c r="B52" s="2">
        <f>B7</f>
        <v>1987</v>
      </c>
      <c r="C52" s="4">
        <f t="shared" ref="C52:C83" si="8">IF(ISNUMBER(C7),10+0.01*C7,V52)</f>
        <v>16.95</v>
      </c>
      <c r="D52" s="4">
        <f t="shared" ref="D52:D83" si="9">IF(ISNUMBER(D7),10+0.01*D7,W52)</f>
        <v>20.98</v>
      </c>
      <c r="E52" s="4">
        <f t="shared" ref="E52:E83" si="10">IF(ISNUMBER(E7),10+0.01*E7,X52)</f>
        <v>16.36</v>
      </c>
      <c r="F52" s="4">
        <f t="shared" ref="F52:F83" si="11">IF(ISNUMBER(F7),10+0.01*F7,Y52)</f>
        <v>19.950000000000003</v>
      </c>
      <c r="G52" s="4">
        <f t="shared" ref="G52:G83" si="12">IF(ISNUMBER(G7),10+0.01*G7,Z52)</f>
        <v>15.34</v>
      </c>
      <c r="H52" s="4">
        <f t="shared" ref="H52:H83" si="13">IF(ISNUMBER(H7),10+0.01*H7,AA52)</f>
        <v>17.740000000000002</v>
      </c>
      <c r="I52" s="4">
        <f t="shared" ref="I52:I83" si="14">IF(ISNUMBER(I7),10+0.01*I7,AB52)</f>
        <v>14.8</v>
      </c>
      <c r="J52" s="4">
        <f t="shared" ref="J52:J83" si="15">IF(ISNUMBER(J7),10+0.01*J7,AC52)</f>
        <v>16.310000000000002</v>
      </c>
      <c r="K52" s="4">
        <f t="shared" ref="K52:K83" si="16">IF(ISNUMBER(K7),10+0.01*K7,AD52)</f>
        <v>14.51</v>
      </c>
      <c r="L52" s="4">
        <f t="shared" ref="L52:L83" si="17">IF(ISNUMBER(L7),10+0.01*L7,AE52)</f>
        <v>15.379999999999999</v>
      </c>
      <c r="M52" s="4">
        <f t="shared" ref="M52:R52" si="18">IF(ISNUMBER(M7),10+0.01*M7,"")</f>
        <v>14.469999999999999</v>
      </c>
      <c r="N52" s="4">
        <f t="shared" si="18"/>
        <v>15.27</v>
      </c>
      <c r="O52" s="4">
        <f t="shared" si="18"/>
        <v>14.43</v>
      </c>
      <c r="P52" s="4">
        <f t="shared" si="18"/>
        <v>15.3</v>
      </c>
      <c r="Q52" s="4">
        <f t="shared" si="18"/>
        <v>14.39</v>
      </c>
      <c r="R52" s="4">
        <f t="shared" si="18"/>
        <v>15.32</v>
      </c>
      <c r="T52" s="2">
        <v>2</v>
      </c>
      <c r="U52" s="2">
        <v>1987</v>
      </c>
    </row>
    <row r="53" spans="1:37" x14ac:dyDescent="0.25">
      <c r="A53" s="2">
        <f t="shared" ref="A53:B53" si="19">A8</f>
        <v>3</v>
      </c>
      <c r="B53" s="2">
        <f t="shared" si="19"/>
        <v>1988</v>
      </c>
      <c r="C53" s="18">
        <f t="shared" si="8"/>
        <v>16.239999999999998</v>
      </c>
      <c r="D53" s="18">
        <f t="shared" si="9"/>
        <v>21.71</v>
      </c>
      <c r="E53" s="18">
        <f t="shared" si="10"/>
        <v>16.079999999999998</v>
      </c>
      <c r="F53" s="18">
        <f t="shared" si="11"/>
        <v>20.61</v>
      </c>
      <c r="G53" s="18">
        <f t="shared" si="12"/>
        <v>15.45</v>
      </c>
      <c r="H53" s="18">
        <f t="shared" si="13"/>
        <v>18.28</v>
      </c>
      <c r="I53" s="18">
        <f t="shared" si="14"/>
        <v>15.02</v>
      </c>
      <c r="J53" s="18">
        <f t="shared" si="15"/>
        <v>16.579999999999998</v>
      </c>
      <c r="K53" s="18">
        <f t="shared" si="16"/>
        <v>14.82</v>
      </c>
      <c r="L53" s="18">
        <f t="shared" si="17"/>
        <v>15.59</v>
      </c>
      <c r="M53" s="4">
        <f t="shared" ref="M53:R53" si="20">IF(ISNUMBER(M8),10+0.01*M8,"")</f>
        <v>14.45</v>
      </c>
      <c r="N53" s="4">
        <f t="shared" si="20"/>
        <v>15.2</v>
      </c>
      <c r="O53" s="4">
        <f t="shared" si="20"/>
        <v>14.42</v>
      </c>
      <c r="P53" s="4">
        <f t="shared" si="20"/>
        <v>15.190000000000001</v>
      </c>
      <c r="Q53" s="4">
        <f t="shared" si="20"/>
        <v>14.39</v>
      </c>
      <c r="R53" s="4">
        <f t="shared" si="20"/>
        <v>15.17</v>
      </c>
      <c r="T53" s="2">
        <v>3</v>
      </c>
      <c r="U53" s="2">
        <v>1988</v>
      </c>
      <c r="V53" s="17">
        <v>16.239999999999998</v>
      </c>
      <c r="W53" s="10">
        <v>21.71</v>
      </c>
      <c r="X53" s="17">
        <v>16.079999999999998</v>
      </c>
      <c r="Y53" s="10">
        <v>20.61</v>
      </c>
      <c r="Z53" s="17">
        <v>15.45</v>
      </c>
      <c r="AA53" s="10">
        <v>18.28</v>
      </c>
      <c r="AB53" s="17">
        <v>15.02</v>
      </c>
      <c r="AC53" s="10">
        <v>16.579999999999998</v>
      </c>
      <c r="AD53" s="17">
        <v>14.82</v>
      </c>
      <c r="AE53" s="10">
        <v>15.59</v>
      </c>
    </row>
    <row r="54" spans="1:37" x14ac:dyDescent="0.25">
      <c r="A54" s="2">
        <f t="shared" ref="A54:B54" si="21">A9</f>
        <v>4</v>
      </c>
      <c r="B54" s="2">
        <f t="shared" si="21"/>
        <v>1989</v>
      </c>
      <c r="C54" s="4">
        <f t="shared" si="8"/>
        <v>15.879999999999999</v>
      </c>
      <c r="D54" s="4">
        <f t="shared" si="9"/>
        <v>20.93</v>
      </c>
      <c r="E54" s="4">
        <f t="shared" si="10"/>
        <v>15.66</v>
      </c>
      <c r="F54" s="4">
        <f t="shared" si="11"/>
        <v>20.02</v>
      </c>
      <c r="G54" s="4">
        <f t="shared" si="12"/>
        <v>14.83</v>
      </c>
      <c r="H54" s="4">
        <f t="shared" si="13"/>
        <v>17.5</v>
      </c>
      <c r="I54" s="4">
        <f t="shared" si="14"/>
        <v>14.56</v>
      </c>
      <c r="J54" s="4">
        <f t="shared" si="15"/>
        <v>15.77</v>
      </c>
      <c r="K54" s="4">
        <f t="shared" si="16"/>
        <v>14.370000000000001</v>
      </c>
      <c r="L54" s="4">
        <f t="shared" si="17"/>
        <v>15.219999999999999</v>
      </c>
      <c r="M54" s="4">
        <f t="shared" ref="M54:R54" si="22">IF(ISNUMBER(M9),10+0.01*M9,"")</f>
        <v>14.36</v>
      </c>
      <c r="N54" s="4">
        <f t="shared" si="22"/>
        <v>15.23</v>
      </c>
      <c r="O54" s="4">
        <f t="shared" si="22"/>
        <v>14.32</v>
      </c>
      <c r="P54" s="4">
        <f t="shared" si="22"/>
        <v>15.17</v>
      </c>
      <c r="Q54" s="4">
        <f t="shared" si="22"/>
        <v>14.3</v>
      </c>
      <c r="R54" s="4">
        <f t="shared" si="22"/>
        <v>15.16</v>
      </c>
      <c r="T54" s="2">
        <v>4</v>
      </c>
      <c r="U54" s="2">
        <v>1989</v>
      </c>
    </row>
    <row r="55" spans="1:37" x14ac:dyDescent="0.25">
      <c r="A55" s="2">
        <f t="shared" ref="A55:B55" si="23">A10</f>
        <v>5</v>
      </c>
      <c r="B55" s="2">
        <f t="shared" si="23"/>
        <v>1990</v>
      </c>
      <c r="C55" s="4">
        <f t="shared" si="8"/>
        <v>17.09</v>
      </c>
      <c r="D55" s="4">
        <f t="shared" si="9"/>
        <v>20.939999999999998</v>
      </c>
      <c r="E55" s="4">
        <f t="shared" si="10"/>
        <v>16.75</v>
      </c>
      <c r="F55" s="4">
        <f t="shared" si="11"/>
        <v>19.920000000000002</v>
      </c>
      <c r="G55" s="4">
        <f t="shared" si="12"/>
        <v>15.73</v>
      </c>
      <c r="H55" s="4">
        <f t="shared" si="13"/>
        <v>17.7</v>
      </c>
      <c r="I55" s="4">
        <f t="shared" si="14"/>
        <v>15.16</v>
      </c>
      <c r="J55" s="4">
        <f t="shared" si="15"/>
        <v>16</v>
      </c>
      <c r="K55" s="4">
        <f t="shared" si="16"/>
        <v>14.86</v>
      </c>
      <c r="L55" s="4">
        <f t="shared" si="17"/>
        <v>15.31</v>
      </c>
      <c r="M55" s="4">
        <f t="shared" ref="M55:R55" si="24">IF(ISNUMBER(M10),10+0.01*M10,"")</f>
        <v>14.780000000000001</v>
      </c>
      <c r="N55" s="4">
        <f t="shared" si="24"/>
        <v>15.190000000000001</v>
      </c>
      <c r="O55" s="4">
        <f t="shared" si="24"/>
        <v>14.73</v>
      </c>
      <c r="P55" s="4">
        <f t="shared" si="24"/>
        <v>15.17</v>
      </c>
      <c r="Q55" s="4">
        <f t="shared" si="24"/>
        <v>14.73</v>
      </c>
      <c r="R55" s="4">
        <f t="shared" si="24"/>
        <v>15.190000000000001</v>
      </c>
      <c r="T55" s="2">
        <v>5</v>
      </c>
      <c r="U55" s="2">
        <v>1990</v>
      </c>
    </row>
    <row r="56" spans="1:37" x14ac:dyDescent="0.25">
      <c r="A56" s="2">
        <f t="shared" ref="A56:B56" si="25">A11</f>
        <v>6</v>
      </c>
      <c r="B56" s="2">
        <f t="shared" si="25"/>
        <v>1991</v>
      </c>
      <c r="C56" s="4">
        <f t="shared" si="8"/>
        <v>17.09</v>
      </c>
      <c r="D56" s="4">
        <f t="shared" si="9"/>
        <v>22.57</v>
      </c>
      <c r="E56" s="4">
        <f t="shared" si="10"/>
        <v>16.7</v>
      </c>
      <c r="F56" s="4">
        <f t="shared" si="11"/>
        <v>21.55</v>
      </c>
      <c r="G56" s="4">
        <f t="shared" si="12"/>
        <v>15.68</v>
      </c>
      <c r="H56" s="4">
        <f t="shared" si="13"/>
        <v>18.78</v>
      </c>
      <c r="I56" s="4">
        <f t="shared" si="14"/>
        <v>15.09</v>
      </c>
      <c r="J56" s="4">
        <f t="shared" si="15"/>
        <v>17.03</v>
      </c>
      <c r="K56" s="4">
        <f t="shared" si="16"/>
        <v>14.79</v>
      </c>
      <c r="L56" s="4">
        <f t="shared" si="17"/>
        <v>16.04</v>
      </c>
      <c r="M56" s="4">
        <f t="shared" ref="M56:R56" si="26">IF(ISNUMBER(M11),10+0.01*M11,"")</f>
        <v>14.71</v>
      </c>
      <c r="N56" s="4">
        <f t="shared" si="26"/>
        <v>15.65</v>
      </c>
      <c r="O56" s="4">
        <f t="shared" si="26"/>
        <v>14.67</v>
      </c>
      <c r="P56" s="4">
        <f t="shared" si="26"/>
        <v>15.629999999999999</v>
      </c>
      <c r="Q56" s="4">
        <f t="shared" si="26"/>
        <v>14.65</v>
      </c>
      <c r="R56" s="4">
        <f t="shared" si="26"/>
        <v>15.600000000000001</v>
      </c>
      <c r="T56" s="2">
        <v>6</v>
      </c>
      <c r="U56" s="2">
        <v>1991</v>
      </c>
    </row>
    <row r="57" spans="1:37" x14ac:dyDescent="0.25">
      <c r="A57" s="2">
        <f t="shared" ref="A57:B57" si="27">A12</f>
        <v>7</v>
      </c>
      <c r="B57" s="2">
        <f t="shared" si="27"/>
        <v>1992</v>
      </c>
      <c r="C57" s="4">
        <f t="shared" si="8"/>
        <v>16.55</v>
      </c>
      <c r="D57" s="4">
        <f t="shared" si="9"/>
        <v>20.61</v>
      </c>
      <c r="E57" s="4">
        <f t="shared" si="10"/>
        <v>16.259999999999998</v>
      </c>
      <c r="F57" s="4">
        <f t="shared" si="11"/>
        <v>19.79</v>
      </c>
      <c r="G57" s="4">
        <f t="shared" si="12"/>
        <v>15.4</v>
      </c>
      <c r="H57" s="4">
        <f t="shared" si="13"/>
        <v>17.600000000000001</v>
      </c>
      <c r="I57" s="4">
        <f t="shared" si="14"/>
        <v>14.98</v>
      </c>
      <c r="J57" s="4">
        <f t="shared" si="15"/>
        <v>16.03</v>
      </c>
      <c r="K57" s="4">
        <f t="shared" si="16"/>
        <v>14.77</v>
      </c>
      <c r="L57" s="4">
        <f t="shared" si="17"/>
        <v>15.21</v>
      </c>
      <c r="M57" s="4">
        <f t="shared" ref="M57:R57" si="28">IF(ISNUMBER(M12),10+0.01*M12,"")</f>
        <v>14.71</v>
      </c>
      <c r="N57" s="4">
        <f t="shared" si="28"/>
        <v>15.14</v>
      </c>
      <c r="O57" s="4">
        <f t="shared" si="28"/>
        <v>14.7</v>
      </c>
      <c r="P57" s="4">
        <f t="shared" si="28"/>
        <v>15.14</v>
      </c>
      <c r="Q57" s="4">
        <f t="shared" si="28"/>
        <v>14.67</v>
      </c>
      <c r="R57" s="4">
        <f t="shared" si="28"/>
        <v>15.11</v>
      </c>
      <c r="T57" s="2">
        <v>7</v>
      </c>
      <c r="U57" s="2">
        <v>1992</v>
      </c>
    </row>
    <row r="58" spans="1:37" x14ac:dyDescent="0.25">
      <c r="A58" s="2">
        <f t="shared" ref="A58:B58" si="29">A13</f>
        <v>8</v>
      </c>
      <c r="B58" s="2">
        <f t="shared" si="29"/>
        <v>1993</v>
      </c>
      <c r="C58" s="4">
        <f t="shared" si="8"/>
        <v>16.71</v>
      </c>
      <c r="D58" s="4">
        <f t="shared" si="9"/>
        <v>20.55</v>
      </c>
      <c r="E58" s="4">
        <f t="shared" si="10"/>
        <v>16.440000000000001</v>
      </c>
      <c r="F58" s="4">
        <f t="shared" si="11"/>
        <v>19.700000000000003</v>
      </c>
      <c r="G58" s="4">
        <f t="shared" si="12"/>
        <v>15.43</v>
      </c>
      <c r="H58" s="4">
        <f t="shared" si="13"/>
        <v>17.5</v>
      </c>
      <c r="I58" s="4">
        <f t="shared" si="14"/>
        <v>14.940000000000001</v>
      </c>
      <c r="J58" s="4">
        <f t="shared" si="15"/>
        <v>15.89</v>
      </c>
      <c r="K58" s="4">
        <f t="shared" si="16"/>
        <v>14.690000000000001</v>
      </c>
      <c r="L58" s="4">
        <f t="shared" si="17"/>
        <v>15.219999999999999</v>
      </c>
      <c r="M58" s="4">
        <f t="shared" ref="M58:R58" si="30">IF(ISNUMBER(M13),10+0.01*M13,"")</f>
        <v>14.629999999999999</v>
      </c>
      <c r="N58" s="4">
        <f t="shared" si="30"/>
        <v>15.100000000000001</v>
      </c>
      <c r="O58" s="4">
        <f t="shared" si="30"/>
        <v>14.59</v>
      </c>
      <c r="P58" s="4">
        <f t="shared" si="30"/>
        <v>15.120000000000001</v>
      </c>
      <c r="Q58" s="4">
        <f t="shared" si="30"/>
        <v>14.58</v>
      </c>
      <c r="R58" s="4">
        <f t="shared" si="30"/>
        <v>15.100000000000001</v>
      </c>
      <c r="T58" s="2">
        <v>8</v>
      </c>
      <c r="U58" s="2">
        <v>1993</v>
      </c>
    </row>
    <row r="59" spans="1:37" x14ac:dyDescent="0.25">
      <c r="A59" s="2">
        <f t="shared" ref="A59:B59" si="31">A14</f>
        <v>9</v>
      </c>
      <c r="B59" s="2">
        <f t="shared" si="31"/>
        <v>1994</v>
      </c>
      <c r="C59" s="4">
        <f t="shared" si="8"/>
        <v>17.38</v>
      </c>
      <c r="D59" s="4">
        <f t="shared" si="9"/>
        <v>21.700000000000003</v>
      </c>
      <c r="E59" s="4">
        <f t="shared" si="10"/>
        <v>16.899999999999999</v>
      </c>
      <c r="F59" s="4">
        <f t="shared" si="11"/>
        <v>20.329999999999998</v>
      </c>
      <c r="G59" s="4">
        <f t="shared" si="12"/>
        <v>15.71</v>
      </c>
      <c r="H59" s="4">
        <f t="shared" si="13"/>
        <v>17.84</v>
      </c>
      <c r="I59" s="4">
        <f t="shared" si="14"/>
        <v>15.09</v>
      </c>
      <c r="J59" s="4">
        <f t="shared" si="15"/>
        <v>16.060000000000002</v>
      </c>
      <c r="K59" s="4">
        <f t="shared" si="16"/>
        <v>14.74</v>
      </c>
      <c r="L59" s="4">
        <f t="shared" si="17"/>
        <v>15.34</v>
      </c>
      <c r="M59" s="4">
        <f t="shared" ref="M59:R59" si="32">IF(ISNUMBER(M14),10+0.01*M14,"")</f>
        <v>14.61</v>
      </c>
      <c r="N59" s="4">
        <f t="shared" si="32"/>
        <v>15.129999999999999</v>
      </c>
      <c r="O59" s="4">
        <f t="shared" si="32"/>
        <v>14.58</v>
      </c>
      <c r="P59" s="4">
        <f t="shared" si="32"/>
        <v>15.129999999999999</v>
      </c>
      <c r="Q59" s="4">
        <f t="shared" si="32"/>
        <v>14.57</v>
      </c>
      <c r="R59" s="4">
        <f t="shared" si="32"/>
        <v>15.100000000000001</v>
      </c>
      <c r="T59" s="2">
        <v>9</v>
      </c>
      <c r="U59" s="2">
        <v>1994</v>
      </c>
    </row>
    <row r="60" spans="1:37" x14ac:dyDescent="0.25">
      <c r="A60" s="2">
        <f t="shared" ref="A60:B60" si="33">A15</f>
        <v>10</v>
      </c>
      <c r="B60" s="2">
        <f t="shared" si="33"/>
        <v>1995</v>
      </c>
      <c r="C60" s="4">
        <f t="shared" si="8"/>
        <v>16.71</v>
      </c>
      <c r="D60" s="4">
        <f t="shared" si="9"/>
        <v>21.93</v>
      </c>
      <c r="E60" s="4">
        <f t="shared" si="10"/>
        <v>16.37</v>
      </c>
      <c r="F60" s="4">
        <f t="shared" si="11"/>
        <v>20.72</v>
      </c>
      <c r="G60" s="4">
        <f t="shared" si="12"/>
        <v>15.54</v>
      </c>
      <c r="H60" s="4">
        <f t="shared" si="13"/>
        <v>18.32</v>
      </c>
      <c r="I60" s="4">
        <f t="shared" si="14"/>
        <v>15.05</v>
      </c>
      <c r="J60" s="4">
        <f t="shared" si="15"/>
        <v>16.560000000000002</v>
      </c>
      <c r="K60" s="4">
        <f t="shared" si="16"/>
        <v>14.81</v>
      </c>
      <c r="L60" s="4">
        <f t="shared" si="17"/>
        <v>15.58</v>
      </c>
      <c r="M60" s="4">
        <f t="shared" ref="M60:R60" si="34">IF(ISNUMBER(M15),10+0.01*M15,"")</f>
        <v>14.7</v>
      </c>
      <c r="N60" s="4">
        <f t="shared" si="34"/>
        <v>15.18</v>
      </c>
      <c r="O60" s="4">
        <f t="shared" si="34"/>
        <v>14.690000000000001</v>
      </c>
      <c r="P60" s="4">
        <f t="shared" si="34"/>
        <v>15.27</v>
      </c>
      <c r="Q60" s="4">
        <f t="shared" si="34"/>
        <v>14.690000000000001</v>
      </c>
      <c r="R60" s="4">
        <f t="shared" si="34"/>
        <v>15.27</v>
      </c>
      <c r="T60" s="2">
        <v>10</v>
      </c>
      <c r="U60" s="2">
        <v>1995</v>
      </c>
    </row>
    <row r="61" spans="1:37" x14ac:dyDescent="0.25">
      <c r="A61" s="2">
        <f t="shared" ref="A61:B61" si="35">A16</f>
        <v>11</v>
      </c>
      <c r="B61" s="2">
        <f t="shared" si="35"/>
        <v>1996</v>
      </c>
      <c r="C61" s="4">
        <f t="shared" si="8"/>
        <v>15.600000000000001</v>
      </c>
      <c r="D61" s="4">
        <f t="shared" si="9"/>
        <v>19.649999999999999</v>
      </c>
      <c r="E61" s="4">
        <f t="shared" si="10"/>
        <v>15.370000000000001</v>
      </c>
      <c r="F61" s="4">
        <f t="shared" si="11"/>
        <v>18.439999999999998</v>
      </c>
      <c r="G61" s="4">
        <f t="shared" si="12"/>
        <v>14.870000000000001</v>
      </c>
      <c r="H61" s="4">
        <f t="shared" si="13"/>
        <v>16.740000000000002</v>
      </c>
      <c r="I61" s="4">
        <f t="shared" si="14"/>
        <v>14.629999999999999</v>
      </c>
      <c r="J61" s="4">
        <f t="shared" si="15"/>
        <v>15.469999999999999</v>
      </c>
      <c r="K61" s="4">
        <f t="shared" si="16"/>
        <v>14.54</v>
      </c>
      <c r="L61" s="4">
        <f t="shared" si="17"/>
        <v>15.280000000000001</v>
      </c>
      <c r="M61" s="4">
        <f t="shared" ref="M61:R61" si="36">IF(ISNUMBER(M16),10+0.01*M16,"")</f>
        <v>14.51</v>
      </c>
      <c r="N61" s="4">
        <f t="shared" si="36"/>
        <v>15.25</v>
      </c>
      <c r="O61" s="4">
        <f t="shared" si="36"/>
        <v>14.52</v>
      </c>
      <c r="P61" s="4">
        <f t="shared" si="36"/>
        <v>15.26</v>
      </c>
      <c r="Q61" s="4">
        <f t="shared" si="36"/>
        <v>14.51</v>
      </c>
      <c r="R61" s="4">
        <f t="shared" si="36"/>
        <v>15.26</v>
      </c>
      <c r="T61" s="2">
        <v>11</v>
      </c>
      <c r="U61" s="2">
        <v>1996</v>
      </c>
    </row>
    <row r="62" spans="1:37" x14ac:dyDescent="0.25">
      <c r="A62" s="2">
        <f t="shared" ref="A62:B62" si="37">A17</f>
        <v>12</v>
      </c>
      <c r="B62" s="2">
        <f t="shared" si="37"/>
        <v>1997</v>
      </c>
      <c r="C62" s="4">
        <f t="shared" si="8"/>
        <v>16.25</v>
      </c>
      <c r="D62" s="4">
        <f t="shared" si="9"/>
        <v>20.96</v>
      </c>
      <c r="E62" s="4">
        <f t="shared" si="10"/>
        <v>16.009999999999998</v>
      </c>
      <c r="F62" s="4">
        <f t="shared" si="11"/>
        <v>19.84</v>
      </c>
      <c r="G62" s="4">
        <f t="shared" si="12"/>
        <v>15.31</v>
      </c>
      <c r="H62" s="4">
        <f t="shared" si="13"/>
        <v>17.64</v>
      </c>
      <c r="I62" s="4">
        <f t="shared" si="14"/>
        <v>14.92</v>
      </c>
      <c r="J62" s="4">
        <f t="shared" si="15"/>
        <v>16.11</v>
      </c>
      <c r="K62" s="4">
        <f t="shared" si="16"/>
        <v>14.73</v>
      </c>
      <c r="L62" s="4">
        <f t="shared" si="17"/>
        <v>15.5</v>
      </c>
      <c r="M62" s="4">
        <f t="shared" ref="M62:R62" si="38">IF(ISNUMBER(M17),10+0.01*M17,"")</f>
        <v>14.68</v>
      </c>
      <c r="N62" s="4">
        <f t="shared" si="38"/>
        <v>15.18</v>
      </c>
      <c r="O62" s="4">
        <f t="shared" si="38"/>
        <v>14.66</v>
      </c>
      <c r="P62" s="4">
        <f t="shared" si="38"/>
        <v>15.129999999999999</v>
      </c>
      <c r="Q62" s="4">
        <f t="shared" si="38"/>
        <v>14.64</v>
      </c>
      <c r="R62" s="4">
        <f t="shared" si="38"/>
        <v>15.08</v>
      </c>
      <c r="T62" s="2">
        <v>12</v>
      </c>
      <c r="U62" s="2">
        <v>1997</v>
      </c>
    </row>
    <row r="63" spans="1:37" x14ac:dyDescent="0.25">
      <c r="A63" s="2">
        <f t="shared" ref="A63:B63" si="39">A18</f>
        <v>13</v>
      </c>
      <c r="B63" s="2">
        <f t="shared" si="39"/>
        <v>1998</v>
      </c>
      <c r="C63" s="4">
        <f t="shared" si="8"/>
        <v>16.759999999999998</v>
      </c>
      <c r="D63" s="4">
        <f t="shared" si="9"/>
        <v>21.200000000000003</v>
      </c>
      <c r="E63" s="4">
        <f t="shared" si="10"/>
        <v>16.38</v>
      </c>
      <c r="F63" s="4">
        <f t="shared" si="11"/>
        <v>20.130000000000003</v>
      </c>
      <c r="G63" s="4">
        <f t="shared" si="12"/>
        <v>15.51</v>
      </c>
      <c r="H63" s="4">
        <f t="shared" si="13"/>
        <v>17.82</v>
      </c>
      <c r="I63" s="4">
        <f t="shared" si="14"/>
        <v>15.01</v>
      </c>
      <c r="J63" s="4">
        <f t="shared" si="15"/>
        <v>16.18</v>
      </c>
      <c r="K63" s="4">
        <f t="shared" si="16"/>
        <v>14.75</v>
      </c>
      <c r="L63" s="4">
        <f t="shared" si="17"/>
        <v>15.39</v>
      </c>
      <c r="M63" s="4">
        <f t="shared" ref="M63:R63" si="40">IF(ISNUMBER(M18),10+0.01*M18,"")</f>
        <v>14.67</v>
      </c>
      <c r="N63" s="4">
        <f t="shared" si="40"/>
        <v>15.120000000000001</v>
      </c>
      <c r="O63" s="4">
        <f t="shared" si="40"/>
        <v>14.64</v>
      </c>
      <c r="P63" s="4">
        <f t="shared" si="40"/>
        <v>15.06</v>
      </c>
      <c r="Q63" s="4">
        <f t="shared" si="40"/>
        <v>14.61</v>
      </c>
      <c r="R63" s="4">
        <f t="shared" si="40"/>
        <v>15.02</v>
      </c>
      <c r="T63" s="2">
        <v>13</v>
      </c>
      <c r="U63" s="2">
        <v>1998</v>
      </c>
    </row>
    <row r="64" spans="1:37" x14ac:dyDescent="0.25">
      <c r="A64" s="2">
        <f t="shared" ref="A64:B64" si="41">A19</f>
        <v>14</v>
      </c>
      <c r="B64" s="2">
        <f t="shared" si="41"/>
        <v>1999</v>
      </c>
      <c r="C64" s="4">
        <f t="shared" si="8"/>
        <v>16.84</v>
      </c>
      <c r="D64" s="4">
        <f t="shared" si="9"/>
        <v>20.990000000000002</v>
      </c>
      <c r="E64" s="4">
        <f t="shared" si="10"/>
        <v>16.45</v>
      </c>
      <c r="F64" s="4">
        <f t="shared" si="11"/>
        <v>20.22</v>
      </c>
      <c r="G64" s="4">
        <f t="shared" si="12"/>
        <v>15.56</v>
      </c>
      <c r="H64" s="4">
        <f t="shared" si="13"/>
        <v>17.84</v>
      </c>
      <c r="I64" s="4">
        <f t="shared" si="14"/>
        <v>15.02</v>
      </c>
      <c r="J64" s="4">
        <f t="shared" si="15"/>
        <v>15.84</v>
      </c>
      <c r="K64" s="4">
        <f t="shared" si="16"/>
        <v>14.719999999999999</v>
      </c>
      <c r="L64" s="4">
        <f t="shared" si="17"/>
        <v>15.25</v>
      </c>
      <c r="M64" s="4">
        <f t="shared" ref="M64:R64" si="42">IF(ISNUMBER(M19),10+0.01*M19,"")</f>
        <v>14.64</v>
      </c>
      <c r="N64" s="4">
        <f t="shared" si="42"/>
        <v>15.21</v>
      </c>
      <c r="O64" s="4">
        <f t="shared" si="42"/>
        <v>14.61</v>
      </c>
      <c r="P64" s="4">
        <f t="shared" si="42"/>
        <v>15.15</v>
      </c>
      <c r="Q64" s="4">
        <f t="shared" si="42"/>
        <v>14.59</v>
      </c>
      <c r="R64" s="4">
        <f t="shared" si="42"/>
        <v>15.129999999999999</v>
      </c>
      <c r="T64" s="2">
        <v>14</v>
      </c>
      <c r="U64" s="2">
        <v>1999</v>
      </c>
    </row>
    <row r="65" spans="1:22" x14ac:dyDescent="0.25">
      <c r="A65" s="2">
        <f t="shared" ref="A65:B65" si="43">A20</f>
        <v>15</v>
      </c>
      <c r="B65" s="2">
        <f t="shared" si="43"/>
        <v>2000</v>
      </c>
      <c r="C65" s="4">
        <f t="shared" si="8"/>
        <v>16.28</v>
      </c>
      <c r="D65" s="4">
        <f t="shared" si="9"/>
        <v>20.8</v>
      </c>
      <c r="E65" s="4">
        <f t="shared" si="10"/>
        <v>16</v>
      </c>
      <c r="F65" s="4">
        <f t="shared" si="11"/>
        <v>19.920000000000002</v>
      </c>
      <c r="G65" s="4">
        <f t="shared" si="12"/>
        <v>15.31</v>
      </c>
      <c r="H65" s="4">
        <f t="shared" si="13"/>
        <v>17.68</v>
      </c>
      <c r="I65" s="4">
        <f t="shared" si="14"/>
        <v>14.98</v>
      </c>
      <c r="J65" s="4">
        <f t="shared" si="15"/>
        <v>16.14</v>
      </c>
      <c r="K65" s="4">
        <f t="shared" si="16"/>
        <v>14.76</v>
      </c>
      <c r="L65" s="4">
        <f t="shared" si="17"/>
        <v>15.31</v>
      </c>
      <c r="M65" s="4">
        <f t="shared" ref="M65:R65" si="44">IF(ISNUMBER(M20),10+0.01*M20,"")</f>
        <v>14.76</v>
      </c>
      <c r="N65" s="4">
        <f t="shared" si="44"/>
        <v>15.17</v>
      </c>
      <c r="O65" s="4">
        <f t="shared" si="44"/>
        <v>14.74</v>
      </c>
      <c r="P65" s="4">
        <f t="shared" si="44"/>
        <v>15.18</v>
      </c>
      <c r="Q65" s="4">
        <f t="shared" si="44"/>
        <v>14.74</v>
      </c>
      <c r="R65" s="4">
        <f t="shared" si="44"/>
        <v>15.18</v>
      </c>
      <c r="T65" s="2">
        <v>15</v>
      </c>
      <c r="U65" s="2">
        <v>2000</v>
      </c>
    </row>
    <row r="66" spans="1:22" x14ac:dyDescent="0.25">
      <c r="A66" s="2">
        <f t="shared" ref="A66:B66" si="45">A21</f>
        <v>16</v>
      </c>
      <c r="B66" s="2">
        <f t="shared" si="45"/>
        <v>2001</v>
      </c>
      <c r="C66" s="18">
        <f t="shared" si="8"/>
        <v>16.670000000000002</v>
      </c>
      <c r="D66" s="4">
        <f t="shared" si="9"/>
        <v>21.48</v>
      </c>
      <c r="E66" s="4">
        <f t="shared" si="10"/>
        <v>16.399999999999999</v>
      </c>
      <c r="F66" s="4">
        <f t="shared" si="11"/>
        <v>20.509999999999998</v>
      </c>
      <c r="G66" s="4">
        <f t="shared" si="12"/>
        <v>15.8</v>
      </c>
      <c r="H66" s="4">
        <f t="shared" si="13"/>
        <v>18.25</v>
      </c>
      <c r="I66" s="4">
        <f t="shared" si="14"/>
        <v>15.17</v>
      </c>
      <c r="J66" s="4">
        <f t="shared" si="15"/>
        <v>16.61</v>
      </c>
      <c r="K66" s="4">
        <f t="shared" si="16"/>
        <v>14.92</v>
      </c>
      <c r="L66" s="4">
        <f t="shared" si="17"/>
        <v>15.600000000000001</v>
      </c>
      <c r="M66" s="4">
        <f t="shared" ref="M66:R66" si="46">IF(ISNUMBER(M21),10+0.01*M21,"")</f>
        <v>14.9</v>
      </c>
      <c r="N66" s="4">
        <f t="shared" si="46"/>
        <v>15.32</v>
      </c>
      <c r="O66" s="4">
        <f t="shared" si="46"/>
        <v>14.850000000000001</v>
      </c>
      <c r="P66" s="4">
        <f t="shared" si="46"/>
        <v>15.27</v>
      </c>
      <c r="Q66" s="4">
        <f t="shared" si="46"/>
        <v>14.870000000000001</v>
      </c>
      <c r="R66" s="4">
        <f t="shared" si="46"/>
        <v>15.14</v>
      </c>
      <c r="T66" s="2">
        <v>16</v>
      </c>
      <c r="U66" s="2">
        <v>2001</v>
      </c>
      <c r="V66" s="17">
        <v>16.670000000000002</v>
      </c>
    </row>
    <row r="67" spans="1:22" x14ac:dyDescent="0.25">
      <c r="A67" s="2">
        <f t="shared" ref="A67:B67" si="47">A22</f>
        <v>17</v>
      </c>
      <c r="B67" s="2">
        <f t="shared" si="47"/>
        <v>2002</v>
      </c>
      <c r="C67" s="4">
        <f t="shared" si="8"/>
        <v>16.52</v>
      </c>
      <c r="D67" s="4">
        <f t="shared" si="9"/>
        <v>20.759999999999998</v>
      </c>
      <c r="E67" s="4">
        <f t="shared" si="10"/>
        <v>16.310000000000002</v>
      </c>
      <c r="F67" s="4">
        <f t="shared" si="11"/>
        <v>19.96</v>
      </c>
      <c r="G67" s="4">
        <f t="shared" si="12"/>
        <v>15.54</v>
      </c>
      <c r="H67" s="4">
        <f t="shared" si="13"/>
        <v>17.8</v>
      </c>
      <c r="I67" s="4">
        <f t="shared" si="14"/>
        <v>15.100000000000001</v>
      </c>
      <c r="J67" s="4">
        <f t="shared" si="15"/>
        <v>16.170000000000002</v>
      </c>
      <c r="K67" s="4">
        <f t="shared" si="16"/>
        <v>14.850000000000001</v>
      </c>
      <c r="L67" s="4">
        <f t="shared" si="17"/>
        <v>15.29</v>
      </c>
      <c r="M67" s="4">
        <f t="shared" ref="M67:R67" si="48">IF(ISNUMBER(M22),10+0.01*M22,"")</f>
        <v>14.84</v>
      </c>
      <c r="N67" s="4">
        <f t="shared" si="48"/>
        <v>15.24</v>
      </c>
      <c r="O67" s="4">
        <f t="shared" si="48"/>
        <v>14.81</v>
      </c>
      <c r="P67" s="4">
        <f t="shared" si="48"/>
        <v>15.3</v>
      </c>
      <c r="Q67" s="4">
        <f t="shared" si="48"/>
        <v>14.8</v>
      </c>
      <c r="R67" s="4">
        <f t="shared" si="48"/>
        <v>15.280000000000001</v>
      </c>
      <c r="T67" s="2">
        <v>17</v>
      </c>
      <c r="U67" s="2">
        <v>2002</v>
      </c>
    </row>
    <row r="68" spans="1:22" x14ac:dyDescent="0.25">
      <c r="A68" s="2">
        <f t="shared" ref="A68:B68" si="49">A23</f>
        <v>18</v>
      </c>
      <c r="B68" s="2">
        <f t="shared" si="49"/>
        <v>2003</v>
      </c>
      <c r="C68" s="4">
        <f t="shared" si="8"/>
        <v>16.32</v>
      </c>
      <c r="D68" s="4">
        <f t="shared" si="9"/>
        <v>20.92</v>
      </c>
      <c r="E68" s="4">
        <f t="shared" si="10"/>
        <v>16.11</v>
      </c>
      <c r="F68" s="4">
        <f t="shared" si="11"/>
        <v>19.91</v>
      </c>
      <c r="G68" s="4">
        <f t="shared" si="12"/>
        <v>15.52</v>
      </c>
      <c r="H68" s="4">
        <f t="shared" si="13"/>
        <v>17.84</v>
      </c>
      <c r="I68" s="4">
        <f t="shared" si="14"/>
        <v>15.11</v>
      </c>
      <c r="J68" s="4">
        <f t="shared" si="15"/>
        <v>16.16</v>
      </c>
      <c r="K68" s="4">
        <f t="shared" si="16"/>
        <v>14.92</v>
      </c>
      <c r="L68" s="4">
        <f t="shared" si="17"/>
        <v>15.370000000000001</v>
      </c>
      <c r="M68" s="4">
        <f t="shared" ref="M68:R68" si="50">IF(ISNUMBER(M23),10+0.01*M23,"")</f>
        <v>14.91</v>
      </c>
      <c r="N68" s="4">
        <f t="shared" si="50"/>
        <v>15.24</v>
      </c>
      <c r="O68" s="4">
        <f t="shared" si="50"/>
        <v>14.86</v>
      </c>
      <c r="P68" s="4">
        <f t="shared" si="50"/>
        <v>15.18</v>
      </c>
      <c r="Q68" s="4">
        <f t="shared" si="50"/>
        <v>14.86</v>
      </c>
      <c r="R68" s="4">
        <f t="shared" si="50"/>
        <v>15.17</v>
      </c>
      <c r="T68" s="2">
        <v>18</v>
      </c>
      <c r="U68" s="2">
        <v>2003</v>
      </c>
    </row>
    <row r="69" spans="1:22" x14ac:dyDescent="0.25">
      <c r="A69" s="2">
        <f t="shared" ref="A69:B69" si="51">A24</f>
        <v>19</v>
      </c>
      <c r="B69" s="2">
        <f t="shared" si="51"/>
        <v>2004</v>
      </c>
      <c r="C69" s="4">
        <f t="shared" si="8"/>
        <v>16.38</v>
      </c>
      <c r="D69" s="4">
        <f t="shared" si="9"/>
        <v>21</v>
      </c>
      <c r="E69" s="4">
        <f t="shared" si="10"/>
        <v>16.240000000000002</v>
      </c>
      <c r="F69" s="4">
        <f t="shared" si="11"/>
        <v>20.14</v>
      </c>
      <c r="G69" s="4">
        <f t="shared" si="12"/>
        <v>15.52</v>
      </c>
      <c r="H69" s="4">
        <f t="shared" si="13"/>
        <v>17.84</v>
      </c>
      <c r="I69" s="4">
        <f t="shared" si="14"/>
        <v>15.030000000000001</v>
      </c>
      <c r="J69" s="4">
        <f t="shared" si="15"/>
        <v>16.09</v>
      </c>
      <c r="K69" s="4">
        <f t="shared" si="16"/>
        <v>14.83</v>
      </c>
      <c r="L69" s="4">
        <f t="shared" si="17"/>
        <v>15.32</v>
      </c>
      <c r="M69" s="4">
        <f t="shared" ref="M69:R69" si="52">IF(ISNUMBER(M24),10+0.01*M24,"")</f>
        <v>14.79</v>
      </c>
      <c r="N69" s="4">
        <f t="shared" si="52"/>
        <v>15.27</v>
      </c>
      <c r="O69" s="4">
        <f t="shared" si="52"/>
        <v>14.76</v>
      </c>
      <c r="P69" s="4">
        <f t="shared" si="52"/>
        <v>15.280000000000001</v>
      </c>
      <c r="Q69" s="4">
        <f t="shared" si="52"/>
        <v>14.780000000000001</v>
      </c>
      <c r="R69" s="4">
        <f t="shared" si="52"/>
        <v>15.3</v>
      </c>
      <c r="T69" s="2">
        <v>19</v>
      </c>
      <c r="U69" s="2">
        <v>2004</v>
      </c>
    </row>
    <row r="70" spans="1:22" x14ac:dyDescent="0.25">
      <c r="A70" s="2">
        <f t="shared" ref="A70:B70" si="53">A25</f>
        <v>20</v>
      </c>
      <c r="B70" s="2">
        <f t="shared" si="53"/>
        <v>2005</v>
      </c>
      <c r="C70" s="4">
        <f t="shared" si="8"/>
        <v>16.68</v>
      </c>
      <c r="D70" s="4">
        <f t="shared" si="9"/>
        <v>21.66</v>
      </c>
      <c r="E70" s="4">
        <f t="shared" si="10"/>
        <v>16.62</v>
      </c>
      <c r="F70" s="4">
        <f t="shared" si="11"/>
        <v>21.1</v>
      </c>
      <c r="G70" s="4">
        <f t="shared" si="12"/>
        <v>15.75</v>
      </c>
      <c r="H70" s="4">
        <f t="shared" si="13"/>
        <v>18.420000000000002</v>
      </c>
      <c r="I70" s="4">
        <f t="shared" si="14"/>
        <v>15.190000000000001</v>
      </c>
      <c r="J70" s="4">
        <f t="shared" si="15"/>
        <v>16.690000000000001</v>
      </c>
      <c r="K70" s="4">
        <f t="shared" si="16"/>
        <v>14.96</v>
      </c>
      <c r="L70" s="4">
        <f t="shared" si="17"/>
        <v>15.77</v>
      </c>
      <c r="M70" s="4">
        <f t="shared" ref="M70:R70" si="54">IF(ISNUMBER(M25),10+0.01*M25,"")</f>
        <v>14.879999999999999</v>
      </c>
      <c r="N70" s="4">
        <f t="shared" si="54"/>
        <v>15.32</v>
      </c>
      <c r="O70" s="4">
        <f t="shared" si="54"/>
        <v>14.870000000000001</v>
      </c>
      <c r="P70" s="4">
        <f t="shared" si="54"/>
        <v>15.440000000000001</v>
      </c>
      <c r="Q70" s="4">
        <f t="shared" si="54"/>
        <v>14.9</v>
      </c>
      <c r="R70" s="4">
        <f t="shared" si="54"/>
        <v>15.370000000000001</v>
      </c>
      <c r="T70" s="2">
        <v>20</v>
      </c>
      <c r="U70" s="2">
        <v>2005</v>
      </c>
    </row>
    <row r="71" spans="1:22" x14ac:dyDescent="0.25">
      <c r="A71" s="2">
        <f t="shared" ref="A71:B71" si="55">A26</f>
        <v>21</v>
      </c>
      <c r="B71" s="2">
        <f t="shared" si="55"/>
        <v>2006</v>
      </c>
      <c r="C71" s="4">
        <f t="shared" si="8"/>
        <v>15.84</v>
      </c>
      <c r="D71" s="4">
        <f t="shared" si="9"/>
        <v>19.850000000000001</v>
      </c>
      <c r="E71" s="4">
        <f t="shared" si="10"/>
        <v>15.75</v>
      </c>
      <c r="F71" s="4">
        <f t="shared" si="11"/>
        <v>19.22</v>
      </c>
      <c r="G71" s="4">
        <f t="shared" si="12"/>
        <v>15.29</v>
      </c>
      <c r="H71" s="4">
        <f t="shared" si="13"/>
        <v>17.259999999999998</v>
      </c>
      <c r="I71" s="4">
        <f t="shared" si="14"/>
        <v>14.93</v>
      </c>
      <c r="J71" s="4">
        <f t="shared" si="15"/>
        <v>15.95</v>
      </c>
      <c r="K71" s="4">
        <f t="shared" si="16"/>
        <v>14.82</v>
      </c>
      <c r="L71" s="4">
        <f t="shared" si="17"/>
        <v>15.5</v>
      </c>
      <c r="M71" s="4">
        <f t="shared" ref="M71:R71" si="56">IF(ISNUMBER(M26),10+0.01*M26,"")</f>
        <v>14.75</v>
      </c>
      <c r="N71" s="4">
        <f t="shared" si="56"/>
        <v>15.33</v>
      </c>
      <c r="O71" s="4">
        <f t="shared" si="56"/>
        <v>14.79</v>
      </c>
      <c r="P71" s="4">
        <f t="shared" si="56"/>
        <v>15.29</v>
      </c>
      <c r="Q71" s="4">
        <f t="shared" si="56"/>
        <v>14.8</v>
      </c>
      <c r="R71" s="4">
        <f t="shared" si="56"/>
        <v>15.31</v>
      </c>
      <c r="T71" s="2">
        <v>21</v>
      </c>
      <c r="U71" s="2">
        <v>2006</v>
      </c>
    </row>
    <row r="72" spans="1:22" x14ac:dyDescent="0.25">
      <c r="A72" s="2">
        <f t="shared" ref="A72:B72" si="57">A27</f>
        <v>22</v>
      </c>
      <c r="B72" s="2">
        <f t="shared" si="57"/>
        <v>2007</v>
      </c>
      <c r="C72" s="4">
        <f t="shared" si="8"/>
        <v>16.66</v>
      </c>
      <c r="D72" s="4">
        <f t="shared" si="9"/>
        <v>20.950000000000003</v>
      </c>
      <c r="E72" s="4">
        <f t="shared" si="10"/>
        <v>16.52</v>
      </c>
      <c r="F72" s="4">
        <f t="shared" si="11"/>
        <v>19.920000000000002</v>
      </c>
      <c r="G72" s="4">
        <f t="shared" si="12"/>
        <v>15.719999999999999</v>
      </c>
      <c r="H72" s="4">
        <f t="shared" si="13"/>
        <v>17.86</v>
      </c>
      <c r="I72" s="4">
        <f t="shared" si="14"/>
        <v>15.08</v>
      </c>
      <c r="J72" s="4">
        <f t="shared" si="15"/>
        <v>16.29</v>
      </c>
      <c r="K72" s="4">
        <f t="shared" si="16"/>
        <v>14.83</v>
      </c>
      <c r="L72" s="4">
        <f t="shared" si="17"/>
        <v>15.41</v>
      </c>
      <c r="M72" s="4">
        <f t="shared" ref="M72:R72" si="58">IF(ISNUMBER(M27),10+0.01*M27,"")</f>
        <v>14.73</v>
      </c>
      <c r="N72" s="4">
        <f t="shared" si="58"/>
        <v>15.17</v>
      </c>
      <c r="O72" s="4">
        <f t="shared" si="58"/>
        <v>14.75</v>
      </c>
      <c r="P72" s="4">
        <f t="shared" si="58"/>
        <v>15.21</v>
      </c>
      <c r="Q72" s="4">
        <f t="shared" si="58"/>
        <v>14.75</v>
      </c>
      <c r="R72" s="4">
        <f t="shared" si="58"/>
        <v>15.21</v>
      </c>
      <c r="T72" s="2">
        <v>22</v>
      </c>
      <c r="U72" s="2">
        <v>2007</v>
      </c>
    </row>
    <row r="73" spans="1:22" x14ac:dyDescent="0.25">
      <c r="A73" s="2">
        <f t="shared" ref="A73:B73" si="59">A28</f>
        <v>23</v>
      </c>
      <c r="B73" s="2">
        <f t="shared" si="59"/>
        <v>2008</v>
      </c>
      <c r="C73" s="4">
        <f t="shared" si="8"/>
        <v>16.060000000000002</v>
      </c>
      <c r="D73" s="4">
        <f t="shared" si="9"/>
        <v>21.16</v>
      </c>
      <c r="E73" s="4">
        <f t="shared" si="10"/>
        <v>15.99</v>
      </c>
      <c r="F73" s="4">
        <f t="shared" si="11"/>
        <v>20.12</v>
      </c>
      <c r="G73" s="4">
        <f t="shared" si="12"/>
        <v>15.370000000000001</v>
      </c>
      <c r="H73" s="4">
        <f t="shared" si="13"/>
        <v>17.91</v>
      </c>
      <c r="I73" s="4">
        <f t="shared" si="14"/>
        <v>14.95</v>
      </c>
      <c r="J73" s="4">
        <f t="shared" si="15"/>
        <v>16.27</v>
      </c>
      <c r="K73" s="4">
        <f t="shared" si="16"/>
        <v>14.74</v>
      </c>
      <c r="L73" s="4">
        <f t="shared" si="17"/>
        <v>15.690000000000001</v>
      </c>
      <c r="M73" s="4">
        <f t="shared" ref="M73:R73" si="60">IF(ISNUMBER(M28),10+0.01*M28,"")</f>
        <v>14.690000000000001</v>
      </c>
      <c r="N73" s="4">
        <f t="shared" si="60"/>
        <v>15.46</v>
      </c>
      <c r="O73" s="4">
        <f t="shared" si="60"/>
        <v>14.719999999999999</v>
      </c>
      <c r="P73" s="4">
        <f t="shared" si="60"/>
        <v>15.46</v>
      </c>
      <c r="Q73" s="4">
        <f t="shared" si="60"/>
        <v>14.719999999999999</v>
      </c>
      <c r="R73" s="4">
        <f t="shared" si="60"/>
        <v>15.49</v>
      </c>
      <c r="T73" s="2">
        <v>23</v>
      </c>
      <c r="U73" s="2">
        <v>2008</v>
      </c>
    </row>
    <row r="74" spans="1:22" x14ac:dyDescent="0.25">
      <c r="A74" s="2">
        <f t="shared" ref="A74:B74" si="61">A29</f>
        <v>24</v>
      </c>
      <c r="B74" s="2">
        <f t="shared" si="61"/>
        <v>2009</v>
      </c>
      <c r="C74" s="4">
        <f t="shared" si="8"/>
        <v>16.16</v>
      </c>
      <c r="D74" s="4">
        <f t="shared" si="9"/>
        <v>21.1</v>
      </c>
      <c r="E74" s="4">
        <f t="shared" si="10"/>
        <v>16.060000000000002</v>
      </c>
      <c r="F74" s="4">
        <f t="shared" si="11"/>
        <v>19.880000000000003</v>
      </c>
      <c r="G74" s="4">
        <f t="shared" si="12"/>
        <v>15.379999999999999</v>
      </c>
      <c r="H74" s="4">
        <f t="shared" si="13"/>
        <v>17.7</v>
      </c>
      <c r="I74" s="4">
        <f t="shared" si="14"/>
        <v>14.93</v>
      </c>
      <c r="J74" s="4">
        <f t="shared" si="15"/>
        <v>16.100000000000001</v>
      </c>
      <c r="K74" s="4">
        <f t="shared" si="16"/>
        <v>14.73</v>
      </c>
      <c r="L74" s="4">
        <f t="shared" si="17"/>
        <v>15.45</v>
      </c>
      <c r="M74" s="4">
        <f t="shared" ref="M74:R74" si="62">IF(ISNUMBER(M29),10+0.01*M29,"")</f>
        <v>14.68</v>
      </c>
      <c r="N74" s="4">
        <f t="shared" si="62"/>
        <v>15.29</v>
      </c>
      <c r="O74" s="4">
        <f t="shared" si="62"/>
        <v>14.7</v>
      </c>
      <c r="P74" s="4">
        <f t="shared" si="62"/>
        <v>15.24</v>
      </c>
      <c r="Q74" s="4">
        <f t="shared" si="62"/>
        <v>14.68</v>
      </c>
      <c r="R74" s="4">
        <f t="shared" si="62"/>
        <v>15.24</v>
      </c>
      <c r="T74" s="2">
        <v>24</v>
      </c>
      <c r="U74" s="2">
        <v>2009</v>
      </c>
    </row>
    <row r="75" spans="1:22" x14ac:dyDescent="0.25">
      <c r="A75" s="2">
        <f t="shared" ref="A75:B75" si="63">A30</f>
        <v>25</v>
      </c>
      <c r="B75" s="2">
        <f t="shared" si="63"/>
        <v>2010</v>
      </c>
      <c r="C75" s="4">
        <f t="shared" si="8"/>
        <v>15.719999999999999</v>
      </c>
      <c r="D75" s="4">
        <f t="shared" si="9"/>
        <v>21.07</v>
      </c>
      <c r="E75" s="4">
        <f t="shared" si="10"/>
        <v>15.48</v>
      </c>
      <c r="F75" s="4">
        <f t="shared" si="11"/>
        <v>19.899999999999999</v>
      </c>
      <c r="G75" s="4">
        <f t="shared" si="12"/>
        <v>14.9</v>
      </c>
      <c r="H75" s="4">
        <f t="shared" si="13"/>
        <v>17.759999999999998</v>
      </c>
      <c r="I75" s="4">
        <f t="shared" si="14"/>
        <v>14.54</v>
      </c>
      <c r="J75" s="4">
        <f t="shared" si="15"/>
        <v>16.11</v>
      </c>
      <c r="K75" s="4">
        <f t="shared" si="16"/>
        <v>14.370000000000001</v>
      </c>
      <c r="L75" s="4">
        <f t="shared" si="17"/>
        <v>15.600000000000001</v>
      </c>
      <c r="M75" s="4">
        <f t="shared" ref="M75:R75" si="64">IF(ISNUMBER(M30),10+0.01*M30,"")</f>
        <v>14.33</v>
      </c>
      <c r="N75" s="4">
        <f t="shared" si="64"/>
        <v>15.46</v>
      </c>
      <c r="O75" s="4">
        <f t="shared" si="64"/>
        <v>14.350000000000001</v>
      </c>
      <c r="P75" s="4">
        <f t="shared" si="64"/>
        <v>15.42</v>
      </c>
      <c r="Q75" s="4">
        <f t="shared" si="64"/>
        <v>14.36</v>
      </c>
      <c r="R75" s="4">
        <f t="shared" si="64"/>
        <v>15.3</v>
      </c>
      <c r="T75" s="2">
        <v>25</v>
      </c>
      <c r="U75" s="2">
        <v>2010</v>
      </c>
    </row>
    <row r="76" spans="1:22" x14ac:dyDescent="0.25">
      <c r="A76" s="2">
        <f t="shared" ref="A76:B76" si="65">A31</f>
        <v>26</v>
      </c>
      <c r="B76" s="2">
        <f t="shared" si="65"/>
        <v>2011</v>
      </c>
      <c r="C76" s="4">
        <f t="shared" si="8"/>
        <v>15.71</v>
      </c>
      <c r="D76" s="4">
        <f t="shared" si="9"/>
        <v>20.72</v>
      </c>
      <c r="E76" s="4">
        <f t="shared" si="10"/>
        <v>15.469999999999999</v>
      </c>
      <c r="F76" s="4">
        <f t="shared" si="11"/>
        <v>19.8</v>
      </c>
      <c r="G76" s="4">
        <f t="shared" si="12"/>
        <v>14.9</v>
      </c>
      <c r="H76" s="4">
        <f t="shared" si="13"/>
        <v>17.71</v>
      </c>
      <c r="I76" s="4">
        <f t="shared" si="14"/>
        <v>14.56</v>
      </c>
      <c r="J76" s="4">
        <f t="shared" si="15"/>
        <v>16.14</v>
      </c>
      <c r="K76" s="4">
        <f t="shared" si="16"/>
        <v>14.39</v>
      </c>
      <c r="L76" s="4">
        <f t="shared" si="17"/>
        <v>15.49</v>
      </c>
      <c r="M76" s="4">
        <f t="shared" ref="M76:R76" si="66">IF(ISNUMBER(M31),10+0.01*M31,"")</f>
        <v>14.36</v>
      </c>
      <c r="N76" s="4">
        <f t="shared" si="66"/>
        <v>15.23</v>
      </c>
      <c r="O76" s="4">
        <f t="shared" si="66"/>
        <v>14.39</v>
      </c>
      <c r="P76" s="4">
        <f t="shared" si="66"/>
        <v>15.219999999999999</v>
      </c>
      <c r="Q76" s="4">
        <f t="shared" si="66"/>
        <v>14.42</v>
      </c>
      <c r="R76" s="4">
        <f t="shared" si="66"/>
        <v>15.280000000000001</v>
      </c>
      <c r="T76" s="2">
        <v>26</v>
      </c>
      <c r="U76" s="2">
        <v>2011</v>
      </c>
    </row>
    <row r="77" spans="1:22" x14ac:dyDescent="0.25">
      <c r="A77" s="2">
        <f t="shared" ref="A77:B77" si="67">A32</f>
        <v>27</v>
      </c>
      <c r="B77" s="2">
        <f t="shared" si="67"/>
        <v>2012</v>
      </c>
      <c r="C77" s="4">
        <f t="shared" si="8"/>
        <v>16.12</v>
      </c>
      <c r="D77" s="4">
        <f t="shared" si="9"/>
        <v>21.33</v>
      </c>
      <c r="E77" s="4">
        <f t="shared" si="10"/>
        <v>15.82</v>
      </c>
      <c r="F77" s="4">
        <f t="shared" si="11"/>
        <v>19.920000000000002</v>
      </c>
      <c r="G77" s="4">
        <f t="shared" si="12"/>
        <v>15.190000000000001</v>
      </c>
      <c r="H77" s="4">
        <f t="shared" si="13"/>
        <v>17.579999999999998</v>
      </c>
      <c r="I77" s="4">
        <f t="shared" si="14"/>
        <v>14.83</v>
      </c>
      <c r="J77" s="4">
        <f t="shared" si="15"/>
        <v>16.149999999999999</v>
      </c>
      <c r="K77" s="4">
        <f t="shared" si="16"/>
        <v>14.65</v>
      </c>
      <c r="L77" s="4">
        <f t="shared" si="17"/>
        <v>15.52</v>
      </c>
      <c r="M77" s="4">
        <f t="shared" ref="M77:R77" si="68">IF(ISNUMBER(M32),10+0.01*M32,"")</f>
        <v>14.600000000000001</v>
      </c>
      <c r="N77" s="4">
        <f t="shared" si="68"/>
        <v>15.370000000000001</v>
      </c>
      <c r="O77" s="4">
        <f t="shared" si="68"/>
        <v>14.600000000000001</v>
      </c>
      <c r="P77" s="4">
        <f t="shared" si="68"/>
        <v>15.32</v>
      </c>
      <c r="Q77" s="4">
        <f t="shared" si="68"/>
        <v>14.600000000000001</v>
      </c>
      <c r="R77" s="4">
        <f t="shared" si="68"/>
        <v>15.32</v>
      </c>
      <c r="T77" s="2">
        <v>27</v>
      </c>
      <c r="U77" s="2">
        <v>2012</v>
      </c>
    </row>
    <row r="78" spans="1:22" x14ac:dyDescent="0.25">
      <c r="A78" s="2">
        <f t="shared" ref="A78:B78" si="69">A33</f>
        <v>28</v>
      </c>
      <c r="B78" s="2">
        <f t="shared" si="69"/>
        <v>2013</v>
      </c>
      <c r="C78" s="4">
        <f t="shared" si="8"/>
        <v>16.64</v>
      </c>
      <c r="D78" s="4">
        <f t="shared" si="9"/>
        <v>21.23</v>
      </c>
      <c r="E78" s="4">
        <f t="shared" si="10"/>
        <v>16.21</v>
      </c>
      <c r="F78" s="4">
        <f t="shared" si="11"/>
        <v>20.16</v>
      </c>
      <c r="G78" s="4">
        <f t="shared" si="12"/>
        <v>15.48</v>
      </c>
      <c r="H78" s="4">
        <f t="shared" si="13"/>
        <v>17.73</v>
      </c>
      <c r="I78" s="4">
        <f t="shared" si="14"/>
        <v>15.030000000000001</v>
      </c>
      <c r="J78" s="4">
        <f t="shared" si="15"/>
        <v>15.93</v>
      </c>
      <c r="K78" s="4">
        <f t="shared" si="16"/>
        <v>14.82</v>
      </c>
      <c r="L78" s="4">
        <f t="shared" si="17"/>
        <v>15.370000000000001</v>
      </c>
      <c r="M78" s="4">
        <f t="shared" ref="M78:R78" si="70">IF(ISNUMBER(M33),10+0.01*M33,"")</f>
        <v>14.7</v>
      </c>
      <c r="N78" s="4">
        <f t="shared" si="70"/>
        <v>15.2</v>
      </c>
      <c r="O78" s="4">
        <f t="shared" si="70"/>
        <v>14.690000000000001</v>
      </c>
      <c r="P78" s="4">
        <f t="shared" si="70"/>
        <v>15.16</v>
      </c>
      <c r="Q78" s="4">
        <f t="shared" si="70"/>
        <v>14.690000000000001</v>
      </c>
      <c r="R78" s="4">
        <f t="shared" si="70"/>
        <v>15.17</v>
      </c>
      <c r="T78" s="2">
        <v>28</v>
      </c>
      <c r="U78" s="2">
        <v>2013</v>
      </c>
    </row>
    <row r="79" spans="1:22" x14ac:dyDescent="0.25">
      <c r="A79" s="2">
        <f t="shared" ref="A79:B79" si="71">A34</f>
        <v>29</v>
      </c>
      <c r="B79" s="2">
        <f t="shared" si="71"/>
        <v>2014</v>
      </c>
      <c r="C79" s="4">
        <f t="shared" si="8"/>
        <v>16.07</v>
      </c>
      <c r="D79" s="4">
        <f t="shared" si="9"/>
        <v>20.310000000000002</v>
      </c>
      <c r="E79" s="4">
        <f t="shared" si="10"/>
        <v>15.690000000000001</v>
      </c>
      <c r="F79" s="4">
        <f t="shared" si="11"/>
        <v>19.36</v>
      </c>
      <c r="G79" s="4">
        <f t="shared" si="12"/>
        <v>14.99</v>
      </c>
      <c r="H79" s="4">
        <f t="shared" si="13"/>
        <v>17.36</v>
      </c>
      <c r="I79" s="4">
        <f t="shared" si="14"/>
        <v>14.71</v>
      </c>
      <c r="J79" s="4">
        <f t="shared" si="15"/>
        <v>15.67</v>
      </c>
      <c r="K79" s="4">
        <f t="shared" si="16"/>
        <v>14.55</v>
      </c>
      <c r="L79" s="4">
        <f t="shared" si="17"/>
        <v>15.21</v>
      </c>
      <c r="M79" s="4">
        <f t="shared" ref="M79:R79" si="72">IF(ISNUMBER(M34),10+0.01*M34,"")</f>
        <v>14.49</v>
      </c>
      <c r="N79" s="4">
        <f t="shared" si="72"/>
        <v>15.21</v>
      </c>
      <c r="O79" s="4">
        <f t="shared" si="72"/>
        <v>14.49</v>
      </c>
      <c r="P79" s="4">
        <f t="shared" si="72"/>
        <v>15.45</v>
      </c>
      <c r="Q79" s="4">
        <f t="shared" si="72"/>
        <v>14.49</v>
      </c>
      <c r="R79" s="4">
        <f t="shared" si="72"/>
        <v>15.4</v>
      </c>
      <c r="T79" s="2">
        <v>29</v>
      </c>
      <c r="U79" s="2">
        <v>2014</v>
      </c>
    </row>
    <row r="80" spans="1:22" x14ac:dyDescent="0.25">
      <c r="A80" s="2">
        <f t="shared" ref="A80:B80" si="73">A35</f>
        <v>30</v>
      </c>
      <c r="B80" s="2">
        <f t="shared" si="73"/>
        <v>2015</v>
      </c>
      <c r="C80" s="4">
        <f t="shared" si="8"/>
        <v>15.8</v>
      </c>
      <c r="D80" s="4">
        <f t="shared" si="9"/>
        <v>18.439999999999998</v>
      </c>
      <c r="E80" s="4">
        <f t="shared" si="10"/>
        <v>15.49</v>
      </c>
      <c r="F80" s="4">
        <f t="shared" si="11"/>
        <v>18.04</v>
      </c>
      <c r="G80" s="4">
        <f t="shared" si="12"/>
        <v>14.89</v>
      </c>
      <c r="H80" s="4">
        <f t="shared" si="13"/>
        <v>16.560000000000002</v>
      </c>
      <c r="I80" s="4">
        <f t="shared" si="14"/>
        <v>14.690000000000001</v>
      </c>
      <c r="J80" s="4">
        <f t="shared" si="15"/>
        <v>15.469999999999999</v>
      </c>
      <c r="K80" s="4">
        <f t="shared" si="16"/>
        <v>14.58</v>
      </c>
      <c r="L80" s="4">
        <f t="shared" si="17"/>
        <v>15.18</v>
      </c>
      <c r="M80" s="4">
        <f t="shared" ref="M80:R80" si="74">IF(ISNUMBER(M35),10+0.01*M35,"")</f>
        <v>14.5</v>
      </c>
      <c r="N80" s="4">
        <f t="shared" si="74"/>
        <v>15.129999999999999</v>
      </c>
      <c r="O80" s="4">
        <f t="shared" si="74"/>
        <v>14.5</v>
      </c>
      <c r="P80" s="4">
        <f t="shared" si="74"/>
        <v>15.129999999999999</v>
      </c>
      <c r="Q80" s="4">
        <f t="shared" si="74"/>
        <v>14.52</v>
      </c>
      <c r="R80" s="4">
        <f t="shared" si="74"/>
        <v>15.17</v>
      </c>
      <c r="T80" s="2">
        <v>30</v>
      </c>
      <c r="U80" s="2">
        <v>2015</v>
      </c>
    </row>
    <row r="81" spans="1:21" x14ac:dyDescent="0.25">
      <c r="A81" s="2">
        <f t="shared" ref="A81:B81" si="75">A36</f>
        <v>31</v>
      </c>
      <c r="B81" s="2">
        <f t="shared" si="75"/>
        <v>2016</v>
      </c>
      <c r="C81" s="4">
        <f t="shared" si="8"/>
        <v>16.45</v>
      </c>
      <c r="D81" s="4">
        <f t="shared" si="9"/>
        <v>21.68</v>
      </c>
      <c r="E81" s="4">
        <f t="shared" si="10"/>
        <v>16.170000000000002</v>
      </c>
      <c r="F81" s="4">
        <f t="shared" si="11"/>
        <v>21.03</v>
      </c>
      <c r="G81" s="4">
        <f t="shared" si="12"/>
        <v>15.43</v>
      </c>
      <c r="H81" s="4">
        <f t="shared" si="13"/>
        <v>18.439999999999998</v>
      </c>
      <c r="I81" s="4">
        <f t="shared" si="14"/>
        <v>15.04</v>
      </c>
      <c r="J81" s="4">
        <f t="shared" si="15"/>
        <v>16.579999999999998</v>
      </c>
      <c r="K81" s="4">
        <f t="shared" si="16"/>
        <v>14.84</v>
      </c>
      <c r="L81" s="4">
        <f t="shared" si="17"/>
        <v>15.600000000000001</v>
      </c>
      <c r="M81" s="4">
        <f t="shared" ref="M81:R81" si="76">IF(ISNUMBER(M36),10+0.01*M36,"")</f>
        <v>14.73</v>
      </c>
      <c r="N81" s="4">
        <f t="shared" si="76"/>
        <v>15.2</v>
      </c>
      <c r="O81" s="4">
        <f t="shared" si="76"/>
        <v>14.719999999999999</v>
      </c>
      <c r="P81" s="4">
        <f t="shared" si="76"/>
        <v>15.14</v>
      </c>
      <c r="Q81" s="4">
        <f t="shared" si="76"/>
        <v>14.73</v>
      </c>
      <c r="R81" s="4">
        <f t="shared" si="76"/>
        <v>15.16</v>
      </c>
      <c r="T81" s="2">
        <v>31</v>
      </c>
      <c r="U81" s="2">
        <v>2016</v>
      </c>
    </row>
    <row r="82" spans="1:21" x14ac:dyDescent="0.25">
      <c r="A82" s="2">
        <f t="shared" ref="A82:B82" si="77">A37</f>
        <v>32</v>
      </c>
      <c r="B82" s="2">
        <f t="shared" si="77"/>
        <v>2017</v>
      </c>
      <c r="C82" s="4">
        <f t="shared" si="8"/>
        <v>16.57</v>
      </c>
      <c r="D82" s="4">
        <f t="shared" si="9"/>
        <v>20.72</v>
      </c>
      <c r="E82" s="4">
        <f t="shared" si="10"/>
        <v>16.329999999999998</v>
      </c>
      <c r="F82" s="4">
        <f t="shared" si="11"/>
        <v>19.8</v>
      </c>
      <c r="G82" s="4">
        <f t="shared" si="12"/>
        <v>15.54</v>
      </c>
      <c r="H82" s="4">
        <f t="shared" si="13"/>
        <v>17.740000000000002</v>
      </c>
      <c r="I82" s="4">
        <f t="shared" si="14"/>
        <v>15.04</v>
      </c>
      <c r="J82" s="4">
        <f t="shared" si="15"/>
        <v>16.170000000000002</v>
      </c>
      <c r="K82" s="4">
        <f t="shared" si="16"/>
        <v>14.84</v>
      </c>
      <c r="L82" s="4">
        <f t="shared" si="17"/>
        <v>15.45</v>
      </c>
      <c r="M82" s="4">
        <f t="shared" ref="M82:R82" si="78">IF(ISNUMBER(M37),10+0.01*M37,"")</f>
        <v>14.73</v>
      </c>
      <c r="N82" s="4">
        <f t="shared" si="78"/>
        <v>15.27</v>
      </c>
      <c r="O82" s="4">
        <f t="shared" si="78"/>
        <v>14.73</v>
      </c>
      <c r="P82" s="4">
        <f t="shared" si="78"/>
        <v>15.31</v>
      </c>
      <c r="Q82" s="4">
        <f t="shared" si="78"/>
        <v>14.719999999999999</v>
      </c>
      <c r="R82" s="4">
        <f t="shared" si="78"/>
        <v>15.280000000000001</v>
      </c>
      <c r="T82" s="2">
        <v>32</v>
      </c>
      <c r="U82" s="2">
        <v>2017</v>
      </c>
    </row>
    <row r="83" spans="1:21" x14ac:dyDescent="0.25">
      <c r="A83" s="2">
        <f>A38</f>
        <v>33</v>
      </c>
      <c r="B83" s="2">
        <f>B38</f>
        <v>2018</v>
      </c>
      <c r="C83" s="4">
        <f t="shared" si="8"/>
        <v>16.47</v>
      </c>
      <c r="D83" s="4">
        <f t="shared" si="9"/>
        <v>21.380000000000003</v>
      </c>
      <c r="E83" s="4">
        <f t="shared" si="10"/>
        <v>16.240000000000002</v>
      </c>
      <c r="F83" s="4">
        <f t="shared" si="11"/>
        <v>20.3</v>
      </c>
      <c r="G83" s="4">
        <f t="shared" si="12"/>
        <v>15.219999999999999</v>
      </c>
      <c r="H83" s="4">
        <f t="shared" si="13"/>
        <v>17.66</v>
      </c>
      <c r="I83" s="4">
        <f t="shared" si="14"/>
        <v>14.879999999999999</v>
      </c>
      <c r="J83" s="4">
        <f t="shared" si="15"/>
        <v>15.91</v>
      </c>
      <c r="K83" s="4">
        <f t="shared" si="16"/>
        <v>14.7</v>
      </c>
      <c r="L83" s="4">
        <f t="shared" si="17"/>
        <v>15.2</v>
      </c>
      <c r="M83" s="4">
        <f t="shared" ref="M83:R83" si="79">IF(ISNUMBER(M38),10+0.01*M38,"")</f>
        <v>14.58</v>
      </c>
      <c r="N83" s="4">
        <f t="shared" si="79"/>
        <v>15.09</v>
      </c>
      <c r="O83" s="4">
        <f t="shared" si="79"/>
        <v>14.57</v>
      </c>
      <c r="P83" s="4">
        <f t="shared" si="79"/>
        <v>15.129999999999999</v>
      </c>
      <c r="Q83" s="4">
        <f t="shared" si="79"/>
        <v>14.58</v>
      </c>
      <c r="R83" s="4">
        <f t="shared" si="79"/>
        <v>15.129999999999999</v>
      </c>
      <c r="T83" s="2">
        <v>33</v>
      </c>
      <c r="U83" s="2">
        <v>2018</v>
      </c>
    </row>
    <row r="85" spans="1:21" x14ac:dyDescent="0.25">
      <c r="A85" s="5" t="s">
        <v>13</v>
      </c>
      <c r="C85" s="11">
        <f t="shared" ref="C85:R85" si="80">IF(ISNUMBER(C40),10+0.01*C40,"")</f>
        <v>16.425806451612903</v>
      </c>
      <c r="D85" s="13">
        <f t="shared" si="80"/>
        <v>20.967187500000001</v>
      </c>
      <c r="E85" s="11">
        <f t="shared" si="80"/>
        <v>16.153437499999999</v>
      </c>
      <c r="F85" s="13">
        <f t="shared" si="80"/>
        <v>19.994374999999998</v>
      </c>
      <c r="G85" s="11">
        <f t="shared" si="80"/>
        <v>15.373125</v>
      </c>
      <c r="H85" s="13">
        <f t="shared" si="80"/>
        <v>17.751249999999999</v>
      </c>
      <c r="I85" s="11">
        <f t="shared" si="80"/>
        <v>14.929062500000001</v>
      </c>
      <c r="J85" s="13">
        <f t="shared" si="80"/>
        <v>16.127812500000001</v>
      </c>
      <c r="K85" s="11">
        <f t="shared" si="80"/>
        <v>14.711562499999999</v>
      </c>
      <c r="L85" s="13">
        <f t="shared" si="80"/>
        <v>15.4184375</v>
      </c>
      <c r="M85" s="11">
        <f t="shared" si="80"/>
        <v>14.643030303030304</v>
      </c>
      <c r="N85" s="13">
        <f t="shared" si="80"/>
        <v>15.245454545454546</v>
      </c>
      <c r="O85" s="11">
        <f t="shared" si="80"/>
        <v>14.629393939393939</v>
      </c>
      <c r="P85" s="13">
        <f t="shared" si="80"/>
        <v>15.244545454545456</v>
      </c>
      <c r="Q85" s="11">
        <f t="shared" si="80"/>
        <v>14.625454545454545</v>
      </c>
      <c r="R85" s="13">
        <f t="shared" si="80"/>
        <v>15.233333333333334</v>
      </c>
    </row>
    <row r="86" spans="1:21" x14ac:dyDescent="0.25">
      <c r="A86" s="5" t="s">
        <v>14</v>
      </c>
      <c r="C86" s="11">
        <f t="shared" ref="C86:R86" si="81">IF(ISNUMBER(C41),10+0.01*C41,"")</f>
        <v>17.38</v>
      </c>
      <c r="D86" s="13">
        <f t="shared" si="81"/>
        <v>22.57</v>
      </c>
      <c r="E86" s="11">
        <f t="shared" si="81"/>
        <v>16.899999999999999</v>
      </c>
      <c r="F86" s="13">
        <f t="shared" si="81"/>
        <v>21.55</v>
      </c>
      <c r="G86" s="11">
        <f t="shared" si="81"/>
        <v>15.8</v>
      </c>
      <c r="H86" s="13">
        <f t="shared" si="81"/>
        <v>18.78</v>
      </c>
      <c r="I86" s="11">
        <f t="shared" si="81"/>
        <v>15.190000000000001</v>
      </c>
      <c r="J86" s="13">
        <f t="shared" si="81"/>
        <v>17.03</v>
      </c>
      <c r="K86" s="11">
        <f t="shared" si="81"/>
        <v>14.96</v>
      </c>
      <c r="L86" s="13">
        <f t="shared" si="81"/>
        <v>16.04</v>
      </c>
      <c r="M86" s="11">
        <f t="shared" si="81"/>
        <v>14.91</v>
      </c>
      <c r="N86" s="13">
        <f t="shared" si="81"/>
        <v>15.65</v>
      </c>
      <c r="O86" s="11">
        <f t="shared" si="81"/>
        <v>14.870000000000001</v>
      </c>
      <c r="P86" s="13">
        <f t="shared" si="81"/>
        <v>15.629999999999999</v>
      </c>
      <c r="Q86" s="11">
        <f t="shared" si="81"/>
        <v>14.9</v>
      </c>
      <c r="R86" s="13">
        <f t="shared" si="81"/>
        <v>15.600000000000001</v>
      </c>
    </row>
    <row r="87" spans="1:21" x14ac:dyDescent="0.25">
      <c r="B87" s="6" t="s">
        <v>15</v>
      </c>
      <c r="C87" s="12">
        <f>C42</f>
        <v>1994</v>
      </c>
      <c r="D87" s="14">
        <f t="shared" ref="D87:R87" si="82">D42</f>
        <v>1991</v>
      </c>
      <c r="E87" s="12">
        <f t="shared" si="82"/>
        <v>1994</v>
      </c>
      <c r="F87" s="14">
        <f t="shared" si="82"/>
        <v>1991</v>
      </c>
      <c r="G87" s="12">
        <f t="shared" si="82"/>
        <v>2001</v>
      </c>
      <c r="H87" s="14">
        <f t="shared" si="82"/>
        <v>1991</v>
      </c>
      <c r="I87" s="12">
        <f t="shared" si="82"/>
        <v>2005</v>
      </c>
      <c r="J87" s="14">
        <f t="shared" si="82"/>
        <v>1991</v>
      </c>
      <c r="K87" s="12">
        <f t="shared" si="82"/>
        <v>2005</v>
      </c>
      <c r="L87" s="14">
        <f t="shared" si="82"/>
        <v>1991</v>
      </c>
      <c r="M87" s="12">
        <f t="shared" si="82"/>
        <v>2003</v>
      </c>
      <c r="N87" s="14">
        <f t="shared" si="82"/>
        <v>1991</v>
      </c>
      <c r="O87" s="12">
        <f t="shared" si="82"/>
        <v>2005</v>
      </c>
      <c r="P87" s="14">
        <f t="shared" si="82"/>
        <v>1991</v>
      </c>
      <c r="Q87" s="12">
        <f t="shared" si="82"/>
        <v>2005</v>
      </c>
      <c r="R87" s="14">
        <f t="shared" si="82"/>
        <v>1991</v>
      </c>
    </row>
    <row r="88" spans="1:21" x14ac:dyDescent="0.25">
      <c r="A88" s="5" t="s">
        <v>16</v>
      </c>
      <c r="C88" s="11">
        <f t="shared" ref="C88:R88" si="83">IF(ISNUMBER(C43),10+0.01*C43,"")</f>
        <v>15.600000000000001</v>
      </c>
      <c r="D88" s="13">
        <f t="shared" si="83"/>
        <v>18.439999999999998</v>
      </c>
      <c r="E88" s="11">
        <f t="shared" si="83"/>
        <v>15.370000000000001</v>
      </c>
      <c r="F88" s="13">
        <f t="shared" si="83"/>
        <v>18.04</v>
      </c>
      <c r="G88" s="11">
        <f t="shared" si="83"/>
        <v>14.83</v>
      </c>
      <c r="H88" s="13">
        <f t="shared" si="83"/>
        <v>16.560000000000002</v>
      </c>
      <c r="I88" s="11">
        <f t="shared" si="83"/>
        <v>14.54</v>
      </c>
      <c r="J88" s="13">
        <f t="shared" si="83"/>
        <v>15.469999999999999</v>
      </c>
      <c r="K88" s="11">
        <f t="shared" si="83"/>
        <v>14.370000000000001</v>
      </c>
      <c r="L88" s="13">
        <f t="shared" si="83"/>
        <v>15.18</v>
      </c>
      <c r="M88" s="11">
        <f t="shared" si="83"/>
        <v>14.33</v>
      </c>
      <c r="N88" s="13">
        <f t="shared" si="83"/>
        <v>15.09</v>
      </c>
      <c r="O88" s="11">
        <f t="shared" si="83"/>
        <v>14.32</v>
      </c>
      <c r="P88" s="13">
        <f t="shared" si="83"/>
        <v>15.06</v>
      </c>
      <c r="Q88" s="11">
        <f t="shared" si="83"/>
        <v>14.3</v>
      </c>
      <c r="R88" s="13">
        <f t="shared" si="83"/>
        <v>15.02</v>
      </c>
    </row>
    <row r="89" spans="1:21" x14ac:dyDescent="0.25">
      <c r="B89" s="6" t="s">
        <v>15</v>
      </c>
      <c r="C89" s="12">
        <f>C44</f>
        <v>1996</v>
      </c>
      <c r="D89" s="14">
        <f t="shared" ref="D89:R89" si="84">D44</f>
        <v>2015</v>
      </c>
      <c r="E89" s="12">
        <f t="shared" si="84"/>
        <v>1996</v>
      </c>
      <c r="F89" s="14">
        <f t="shared" si="84"/>
        <v>2015</v>
      </c>
      <c r="G89" s="12">
        <f t="shared" si="84"/>
        <v>1989</v>
      </c>
      <c r="H89" s="14">
        <f t="shared" si="84"/>
        <v>2015</v>
      </c>
      <c r="I89" s="12">
        <f t="shared" si="84"/>
        <v>2010</v>
      </c>
      <c r="J89" s="14">
        <f t="shared" si="84"/>
        <v>2015</v>
      </c>
      <c r="K89" s="12" t="str">
        <f t="shared" si="84"/>
        <v>1989; 2010</v>
      </c>
      <c r="L89" s="14">
        <f t="shared" si="84"/>
        <v>2015</v>
      </c>
      <c r="M89" s="12">
        <f t="shared" si="84"/>
        <v>2010</v>
      </c>
      <c r="N89" s="14">
        <f t="shared" si="84"/>
        <v>2018</v>
      </c>
      <c r="O89" s="12" t="str">
        <f t="shared" si="84"/>
        <v>1986; -89</v>
      </c>
      <c r="P89" s="14">
        <f t="shared" si="84"/>
        <v>1998</v>
      </c>
      <c r="Q89" s="12">
        <f t="shared" si="84"/>
        <v>1989</v>
      </c>
      <c r="R89" s="14">
        <f t="shared" si="84"/>
        <v>1998</v>
      </c>
    </row>
  </sheetData>
  <mergeCells count="30">
    <mergeCell ref="K48:L48"/>
    <mergeCell ref="M48:N48"/>
    <mergeCell ref="O48:P48"/>
    <mergeCell ref="Q48:R48"/>
    <mergeCell ref="O3:P3"/>
    <mergeCell ref="Q3:R3"/>
    <mergeCell ref="K3:L3"/>
    <mergeCell ref="M3:N3"/>
    <mergeCell ref="B3:B4"/>
    <mergeCell ref="A3:A4"/>
    <mergeCell ref="A48:A49"/>
    <mergeCell ref="B48:B49"/>
    <mergeCell ref="C48:D48"/>
    <mergeCell ref="E48:F48"/>
    <mergeCell ref="G48:H48"/>
    <mergeCell ref="I48:J48"/>
    <mergeCell ref="C3:D3"/>
    <mergeCell ref="E3:F3"/>
    <mergeCell ref="G3:H3"/>
    <mergeCell ref="I3:J3"/>
    <mergeCell ref="T48:T49"/>
    <mergeCell ref="U48:U49"/>
    <mergeCell ref="V48:W48"/>
    <mergeCell ref="X48:Y48"/>
    <mergeCell ref="Z48:AA48"/>
    <mergeCell ref="AB48:AC48"/>
    <mergeCell ref="AD48:AE48"/>
    <mergeCell ref="AF48:AG48"/>
    <mergeCell ref="AH48:AI48"/>
    <mergeCell ref="AJ48:AK48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topLeftCell="A68" zoomScale="130" zoomScaleNormal="130" workbookViewId="0">
      <selection activeCell="G93" sqref="G93"/>
    </sheetView>
  </sheetViews>
  <sheetFormatPr defaultRowHeight="15" x14ac:dyDescent="0.25"/>
  <sheetData>
    <row r="1" spans="1:10" ht="21" x14ac:dyDescent="0.35">
      <c r="A1" s="1" t="s">
        <v>20</v>
      </c>
    </row>
    <row r="3" spans="1:10" x14ac:dyDescent="0.25">
      <c r="A3" s="23" t="s">
        <v>12</v>
      </c>
      <c r="B3" s="25" t="s">
        <v>0</v>
      </c>
      <c r="C3" s="22" t="s">
        <v>21</v>
      </c>
      <c r="D3" s="22"/>
      <c r="E3" s="22" t="s">
        <v>22</v>
      </c>
      <c r="F3" s="22"/>
      <c r="G3" s="22" t="s">
        <v>23</v>
      </c>
      <c r="H3" s="22"/>
      <c r="J3" s="19" t="s">
        <v>26</v>
      </c>
    </row>
    <row r="4" spans="1:10" x14ac:dyDescent="0.25">
      <c r="A4" s="24"/>
      <c r="B4" s="25"/>
      <c r="C4" s="3" t="s">
        <v>9</v>
      </c>
      <c r="D4" s="3" t="s">
        <v>10</v>
      </c>
      <c r="E4" s="3" t="s">
        <v>9</v>
      </c>
      <c r="F4" s="3" t="s">
        <v>10</v>
      </c>
      <c r="G4" s="3" t="s">
        <v>9</v>
      </c>
      <c r="H4" s="3" t="s">
        <v>10</v>
      </c>
    </row>
    <row r="5" spans="1:10" x14ac:dyDescent="0.25">
      <c r="J5" s="20" t="s">
        <v>27</v>
      </c>
    </row>
    <row r="6" spans="1:10" x14ac:dyDescent="0.25">
      <c r="A6" s="2">
        <v>1</v>
      </c>
      <c r="B6" s="2">
        <v>1986</v>
      </c>
      <c r="C6" s="15">
        <f>IF(AND(ISNUMBER('Массив данных'!C51),ISNUMBER('Массив данных'!G51)),0.5*('Массив данных'!C51+'Массив данных'!G51),"")</f>
        <v>16.115000000000002</v>
      </c>
      <c r="D6" s="15">
        <f>IF(ISNUMBER('Массив данных'!D51),'Массив данных'!D51,"")</f>
        <v>21.380000000000003</v>
      </c>
      <c r="E6" s="15">
        <f>IF(AND(ISNUMBER('Массив данных'!G51),ISNUMBER('Массив данных'!K51)),0.5*('Массив данных'!G51+'Массив данных'!K51),"")</f>
        <v>14.84</v>
      </c>
      <c r="F6" s="15">
        <f>IF(ISNUMBER('Массив данных'!G51),'Массив данных'!G51,"")</f>
        <v>15.29</v>
      </c>
      <c r="G6" s="15">
        <f>IF(AND(ISNUMBER('Массив данных'!K51),ISNUMBER('Массив данных'!Q51)),0.5*('Массив данных'!K51+'Массив данных'!Q51),"")</f>
        <v>14.350000000000001</v>
      </c>
      <c r="H6" s="15">
        <f>IF(AND(ISNUMBER('Массив данных'!L51),ISNUMBER('Массив данных'!N51),ISNUMBER('Массив данных'!P51),ISNUMBER('Массив данных'!R51)),MAX('Массив данных'!L51,'Массив данных'!N51,'Массив данных'!P51,'Массив данных'!R51),"")</f>
        <v>15.34</v>
      </c>
    </row>
    <row r="7" spans="1:10" x14ac:dyDescent="0.25">
      <c r="A7" s="2">
        <v>2</v>
      </c>
      <c r="B7" s="2">
        <v>1987</v>
      </c>
      <c r="C7" s="15">
        <f>IF(AND(ISNUMBER('Массив данных'!C52),ISNUMBER('Массив данных'!G52)),0.5*('Массив данных'!C52+'Массив данных'!G52),"")</f>
        <v>16.145</v>
      </c>
      <c r="D7" s="15">
        <f>IF(ISNUMBER('Массив данных'!D52),'Массив данных'!D52,"")</f>
        <v>20.98</v>
      </c>
      <c r="E7" s="15">
        <f>IF(AND(ISNUMBER('Массив данных'!G52),ISNUMBER('Массив данных'!K52)),0.5*('Массив данных'!G52+'Массив данных'!K52),"")</f>
        <v>14.925000000000001</v>
      </c>
      <c r="F7" s="15">
        <f>IF(ISNUMBER('Массив данных'!G52),'Массив данных'!G52,"")</f>
        <v>15.34</v>
      </c>
      <c r="G7" s="15">
        <f>IF(AND(ISNUMBER('Массив данных'!K52),ISNUMBER('Массив данных'!Q52)),0.5*('Массив данных'!K52+'Массив данных'!Q52),"")</f>
        <v>14.45</v>
      </c>
      <c r="H7" s="15">
        <f>IF(AND(ISNUMBER('Массив данных'!L52),ISNUMBER('Массив данных'!N52),ISNUMBER('Массив данных'!P52),ISNUMBER('Массив данных'!R52)),MAX('Массив данных'!L52,'Массив данных'!N52,'Массив данных'!P52,'Массив данных'!R52),"")</f>
        <v>15.379999999999999</v>
      </c>
    </row>
    <row r="8" spans="1:10" x14ac:dyDescent="0.25">
      <c r="A8" s="2">
        <v>3</v>
      </c>
      <c r="B8" s="2">
        <v>1988</v>
      </c>
      <c r="C8" s="15">
        <f>IF(AND(ISNUMBER('Массив данных'!C53),ISNUMBER('Массив данных'!G53)),0.5*('Массив данных'!C53+'Массив данных'!G53),"")</f>
        <v>15.844999999999999</v>
      </c>
      <c r="D8" s="15">
        <f>IF(ISNUMBER('Массив данных'!D53),'Массив данных'!D53,"")</f>
        <v>21.71</v>
      </c>
      <c r="E8" s="15">
        <f>IF(AND(ISNUMBER('Массив данных'!G53),ISNUMBER('Массив данных'!K53)),0.5*('Массив данных'!G53+'Массив данных'!K53),"")</f>
        <v>15.135</v>
      </c>
      <c r="F8" s="15">
        <f>IF(ISNUMBER('Массив данных'!G53),'Массив данных'!G53,"")</f>
        <v>15.45</v>
      </c>
      <c r="G8" s="15">
        <f>IF(AND(ISNUMBER('Массив данных'!K53),ISNUMBER('Массив данных'!Q53)),0.5*('Массив данных'!K53+'Массив данных'!Q53),"")</f>
        <v>14.605</v>
      </c>
      <c r="H8" s="15">
        <f>IF(AND(ISNUMBER('Массив данных'!L53),ISNUMBER('Массив данных'!N53),ISNUMBER('Массив данных'!P53),ISNUMBER('Массив данных'!R53)),MAX('Массив данных'!L53,'Массив данных'!N53,'Массив данных'!P53,'Массив данных'!R53),"")</f>
        <v>15.59</v>
      </c>
    </row>
    <row r="9" spans="1:10" x14ac:dyDescent="0.25">
      <c r="A9" s="2">
        <v>4</v>
      </c>
      <c r="B9" s="2">
        <v>1989</v>
      </c>
      <c r="C9" s="15">
        <f>IF(AND(ISNUMBER('Массив данных'!C54),ISNUMBER('Массив данных'!G54)),0.5*('Массив данных'!C54+'Массив данных'!G54),"")</f>
        <v>15.355</v>
      </c>
      <c r="D9" s="15">
        <f>IF(ISNUMBER('Массив данных'!D54),'Массив данных'!D54,"")</f>
        <v>20.93</v>
      </c>
      <c r="E9" s="15">
        <f>IF(AND(ISNUMBER('Массив данных'!G54),ISNUMBER('Массив данных'!K54)),0.5*('Массив данных'!G54+'Массив данных'!K54),"")</f>
        <v>14.600000000000001</v>
      </c>
      <c r="F9" s="15">
        <f>IF(ISNUMBER('Массив данных'!G54),'Массив данных'!G54,"")</f>
        <v>14.83</v>
      </c>
      <c r="G9" s="15">
        <f>IF(AND(ISNUMBER('Массив данных'!K54),ISNUMBER('Массив данных'!Q54)),0.5*('Массив данных'!K54+'Массив данных'!Q54),"")</f>
        <v>14.335000000000001</v>
      </c>
      <c r="H9" s="15">
        <f>IF(AND(ISNUMBER('Массив данных'!L54),ISNUMBER('Массив данных'!N54),ISNUMBER('Массив данных'!P54),ISNUMBER('Массив данных'!R54)),MAX('Массив данных'!L54,'Массив данных'!N54,'Массив данных'!P54,'Массив данных'!R54),"")</f>
        <v>15.23</v>
      </c>
    </row>
    <row r="10" spans="1:10" x14ac:dyDescent="0.25">
      <c r="A10" s="2">
        <v>5</v>
      </c>
      <c r="B10" s="2">
        <v>1990</v>
      </c>
      <c r="C10" s="15">
        <f>IF(AND(ISNUMBER('Массив данных'!C55),ISNUMBER('Массив данных'!G55)),0.5*('Массив данных'!C55+'Массив данных'!G55),"")</f>
        <v>16.41</v>
      </c>
      <c r="D10" s="15">
        <f>IF(ISNUMBER('Массив данных'!D55),'Массив данных'!D55,"")</f>
        <v>20.939999999999998</v>
      </c>
      <c r="E10" s="15">
        <f>IF(AND(ISNUMBER('Массив данных'!G55),ISNUMBER('Массив данных'!K55)),0.5*('Массив данных'!G55+'Массив данных'!K55),"")</f>
        <v>15.295</v>
      </c>
      <c r="F10" s="15">
        <f>IF(ISNUMBER('Массив данных'!G55),'Массив данных'!G55,"")</f>
        <v>15.73</v>
      </c>
      <c r="G10" s="15">
        <f>IF(AND(ISNUMBER('Массив данных'!K55),ISNUMBER('Массив данных'!Q55)),0.5*('Массив данных'!K55+'Массив данных'!Q55),"")</f>
        <v>14.795</v>
      </c>
      <c r="H10" s="15">
        <f>IF(AND(ISNUMBER('Массив данных'!L55),ISNUMBER('Массив данных'!N55),ISNUMBER('Массив данных'!P55),ISNUMBER('Массив данных'!R55)),MAX('Массив данных'!L55,'Массив данных'!N55,'Массив данных'!P55,'Массив данных'!R55),"")</f>
        <v>15.31</v>
      </c>
    </row>
    <row r="11" spans="1:10" x14ac:dyDescent="0.25">
      <c r="A11" s="2">
        <v>6</v>
      </c>
      <c r="B11" s="2">
        <v>1991</v>
      </c>
      <c r="C11" s="15">
        <f>IF(AND(ISNUMBER('Массив данных'!C56),ISNUMBER('Массив данных'!G56)),0.5*('Массив данных'!C56+'Массив данных'!G56),"")</f>
        <v>16.384999999999998</v>
      </c>
      <c r="D11" s="15">
        <f>IF(ISNUMBER('Массив данных'!D56),'Массив данных'!D56,"")</f>
        <v>22.57</v>
      </c>
      <c r="E11" s="15">
        <f>IF(AND(ISNUMBER('Массив данных'!G56),ISNUMBER('Массив данных'!K56)),0.5*('Массив данных'!G56+'Массив данных'!K56),"")</f>
        <v>15.234999999999999</v>
      </c>
      <c r="F11" s="15">
        <f>IF(ISNUMBER('Массив данных'!G56),'Массив данных'!G56,"")</f>
        <v>15.68</v>
      </c>
      <c r="G11" s="15">
        <f>IF(AND(ISNUMBER('Массив данных'!K56),ISNUMBER('Массив данных'!Q56)),0.5*('Массив данных'!K56+'Массив данных'!Q56),"")</f>
        <v>14.719999999999999</v>
      </c>
      <c r="H11" s="15">
        <f>IF(AND(ISNUMBER('Массив данных'!L56),ISNUMBER('Массив данных'!N56),ISNUMBER('Массив данных'!P56),ISNUMBER('Массив данных'!R56)),MAX('Массив данных'!L56,'Массив данных'!N56,'Массив данных'!P56,'Массив данных'!R56),"")</f>
        <v>16.04</v>
      </c>
    </row>
    <row r="12" spans="1:10" x14ac:dyDescent="0.25">
      <c r="A12" s="2">
        <v>7</v>
      </c>
      <c r="B12" s="2">
        <v>1992</v>
      </c>
      <c r="C12" s="15">
        <f>IF(AND(ISNUMBER('Массив данных'!C57),ISNUMBER('Массив данных'!G57)),0.5*('Массив данных'!C57+'Массив данных'!G57),"")</f>
        <v>15.975000000000001</v>
      </c>
      <c r="D12" s="15">
        <f>IF(ISNUMBER('Массив данных'!D57),'Массив данных'!D57,"")</f>
        <v>20.61</v>
      </c>
      <c r="E12" s="15">
        <f>IF(AND(ISNUMBER('Массив данных'!G57),ISNUMBER('Массив данных'!K57)),0.5*('Массив данных'!G57+'Массив данных'!K57),"")</f>
        <v>15.085000000000001</v>
      </c>
      <c r="F12" s="15">
        <f>IF(ISNUMBER('Массив данных'!G57),'Массив данных'!G57,"")</f>
        <v>15.4</v>
      </c>
      <c r="G12" s="15">
        <f>IF(AND(ISNUMBER('Массив данных'!K57),ISNUMBER('Массив данных'!Q57)),0.5*('Массив данных'!K57+'Массив данных'!Q57),"")</f>
        <v>14.719999999999999</v>
      </c>
      <c r="H12" s="15">
        <f>IF(AND(ISNUMBER('Массив данных'!L57),ISNUMBER('Массив данных'!N57),ISNUMBER('Массив данных'!P57),ISNUMBER('Массив данных'!R57)),MAX('Массив данных'!L57,'Массив данных'!N57,'Массив данных'!P57,'Массив данных'!R57),"")</f>
        <v>15.21</v>
      </c>
    </row>
    <row r="13" spans="1:10" x14ac:dyDescent="0.25">
      <c r="A13" s="2">
        <v>8</v>
      </c>
      <c r="B13" s="2">
        <v>1993</v>
      </c>
      <c r="C13" s="15">
        <f>IF(AND(ISNUMBER('Массив данных'!C58),ISNUMBER('Массив данных'!G58)),0.5*('Массив данных'!C58+'Массив данных'!G58),"")</f>
        <v>16.07</v>
      </c>
      <c r="D13" s="15">
        <f>IF(ISNUMBER('Массив данных'!D58),'Массив данных'!D58,"")</f>
        <v>20.55</v>
      </c>
      <c r="E13" s="15">
        <f>IF(AND(ISNUMBER('Массив данных'!G58),ISNUMBER('Массив данных'!K58)),0.5*('Массив данных'!G58+'Массив данных'!K58),"")</f>
        <v>15.06</v>
      </c>
      <c r="F13" s="15">
        <f>IF(ISNUMBER('Массив данных'!G58),'Массив данных'!G58,"")</f>
        <v>15.43</v>
      </c>
      <c r="G13" s="15">
        <f>IF(AND(ISNUMBER('Массив данных'!K58),ISNUMBER('Массив данных'!Q58)),0.5*('Массив данных'!K58+'Массив данных'!Q58),"")</f>
        <v>14.635000000000002</v>
      </c>
      <c r="H13" s="15">
        <f>IF(AND(ISNUMBER('Массив данных'!L58),ISNUMBER('Массив данных'!N58),ISNUMBER('Массив данных'!P58),ISNUMBER('Массив данных'!R58)),MAX('Массив данных'!L58,'Массив данных'!N58,'Массив данных'!P58,'Массив данных'!R58),"")</f>
        <v>15.219999999999999</v>
      </c>
    </row>
    <row r="14" spans="1:10" x14ac:dyDescent="0.25">
      <c r="A14" s="2">
        <v>9</v>
      </c>
      <c r="B14" s="2">
        <v>1994</v>
      </c>
      <c r="C14" s="15">
        <f>IF(AND(ISNUMBER('Массив данных'!C59),ISNUMBER('Массив данных'!G59)),0.5*('Массив данных'!C59+'Массив данных'!G59),"")</f>
        <v>16.545000000000002</v>
      </c>
      <c r="D14" s="15">
        <f>IF(ISNUMBER('Массив данных'!D59),'Массив данных'!D59,"")</f>
        <v>21.700000000000003</v>
      </c>
      <c r="E14" s="15">
        <f>IF(AND(ISNUMBER('Массив данных'!G59),ISNUMBER('Массив данных'!K59)),0.5*('Массив данных'!G59+'Массив данных'!K59),"")</f>
        <v>15.225000000000001</v>
      </c>
      <c r="F14" s="15">
        <f>IF(ISNUMBER('Массив данных'!G59),'Массив данных'!G59,"")</f>
        <v>15.71</v>
      </c>
      <c r="G14" s="15">
        <f>IF(AND(ISNUMBER('Массив данных'!K59),ISNUMBER('Массив данных'!Q59)),0.5*('Массив данных'!K59+'Массив данных'!Q59),"")</f>
        <v>14.655000000000001</v>
      </c>
      <c r="H14" s="15">
        <f>IF(AND(ISNUMBER('Массив данных'!L59),ISNUMBER('Массив данных'!N59),ISNUMBER('Массив данных'!P59),ISNUMBER('Массив данных'!R59)),MAX('Массив данных'!L59,'Массив данных'!N59,'Массив данных'!P59,'Массив данных'!R59),"")</f>
        <v>15.34</v>
      </c>
    </row>
    <row r="15" spans="1:10" x14ac:dyDescent="0.25">
      <c r="A15" s="2">
        <v>10</v>
      </c>
      <c r="B15" s="2">
        <v>1995</v>
      </c>
      <c r="C15" s="15">
        <f>IF(AND(ISNUMBER('Массив данных'!C60),ISNUMBER('Массив данных'!G60)),0.5*('Массив данных'!C60+'Массив данных'!G60),"")</f>
        <v>16.125</v>
      </c>
      <c r="D15" s="15">
        <f>IF(ISNUMBER('Массив данных'!D60),'Массив данных'!D60,"")</f>
        <v>21.93</v>
      </c>
      <c r="E15" s="15">
        <f>IF(AND(ISNUMBER('Массив данных'!G60),ISNUMBER('Массив данных'!K60)),0.5*('Массив данных'!G60+'Массив данных'!K60),"")</f>
        <v>15.175000000000001</v>
      </c>
      <c r="F15" s="15">
        <f>IF(ISNUMBER('Массив данных'!G60),'Массив данных'!G60,"")</f>
        <v>15.54</v>
      </c>
      <c r="G15" s="15">
        <f>IF(AND(ISNUMBER('Массив данных'!K60),ISNUMBER('Массив данных'!Q60)),0.5*('Массив данных'!K60+'Массив данных'!Q60),"")</f>
        <v>14.75</v>
      </c>
      <c r="H15" s="15">
        <f>IF(AND(ISNUMBER('Массив данных'!L60),ISNUMBER('Массив данных'!N60),ISNUMBER('Массив данных'!P60),ISNUMBER('Массив данных'!R60)),MAX('Массив данных'!L60,'Массив данных'!N60,'Массив данных'!P60,'Массив данных'!R60),"")</f>
        <v>15.58</v>
      </c>
    </row>
    <row r="16" spans="1:10" x14ac:dyDescent="0.25">
      <c r="A16" s="2">
        <v>11</v>
      </c>
      <c r="B16" s="2">
        <v>1996</v>
      </c>
      <c r="C16" s="15">
        <f>IF(AND(ISNUMBER('Массив данных'!C61),ISNUMBER('Массив данных'!G61)),0.5*('Массив данных'!C61+'Массив данных'!G61),"")</f>
        <v>15.235000000000001</v>
      </c>
      <c r="D16" s="15">
        <f>IF(ISNUMBER('Массив данных'!D61),'Массив данных'!D61,"")</f>
        <v>19.649999999999999</v>
      </c>
      <c r="E16" s="15">
        <f>IF(AND(ISNUMBER('Массив данных'!G61),ISNUMBER('Массив данных'!K61)),0.5*('Массив данных'!G61+'Массив данных'!K61),"")</f>
        <v>14.705</v>
      </c>
      <c r="F16" s="15">
        <f>IF(ISNUMBER('Массив данных'!G61),'Массив данных'!G61,"")</f>
        <v>14.870000000000001</v>
      </c>
      <c r="G16" s="15">
        <f>IF(AND(ISNUMBER('Массив данных'!K61),ISNUMBER('Массив данных'!Q61)),0.5*('Массив данных'!K61+'Массив данных'!Q61),"")</f>
        <v>14.524999999999999</v>
      </c>
      <c r="H16" s="15">
        <f>IF(AND(ISNUMBER('Массив данных'!L61),ISNUMBER('Массив данных'!N61),ISNUMBER('Массив данных'!P61),ISNUMBER('Массив данных'!R61)),MAX('Массив данных'!L61,'Массив данных'!N61,'Массив данных'!P61,'Массив данных'!R61),"")</f>
        <v>15.280000000000001</v>
      </c>
    </row>
    <row r="17" spans="1:8" x14ac:dyDescent="0.25">
      <c r="A17" s="2">
        <v>12</v>
      </c>
      <c r="B17" s="2">
        <v>1997</v>
      </c>
      <c r="C17" s="15">
        <f>IF(AND(ISNUMBER('Массив данных'!C62),ISNUMBER('Массив данных'!G62)),0.5*('Массив данных'!C62+'Массив данных'!G62),"")</f>
        <v>15.780000000000001</v>
      </c>
      <c r="D17" s="15">
        <f>IF(ISNUMBER('Массив данных'!D62),'Массив данных'!D62,"")</f>
        <v>20.96</v>
      </c>
      <c r="E17" s="15">
        <f>IF(AND(ISNUMBER('Массив данных'!G62),ISNUMBER('Массив данных'!K62)),0.5*('Массив данных'!G62+'Массив данных'!K62),"")</f>
        <v>15.02</v>
      </c>
      <c r="F17" s="15">
        <f>IF(ISNUMBER('Массив данных'!G62),'Массив данных'!G62,"")</f>
        <v>15.31</v>
      </c>
      <c r="G17" s="15">
        <f>IF(AND(ISNUMBER('Массив данных'!K62),ISNUMBER('Массив данных'!Q62)),0.5*('Массив данных'!K62+'Массив данных'!Q62),"")</f>
        <v>14.685</v>
      </c>
      <c r="H17" s="15">
        <f>IF(AND(ISNUMBER('Массив данных'!L62),ISNUMBER('Массив данных'!N62),ISNUMBER('Массив данных'!P62),ISNUMBER('Массив данных'!R62)),MAX('Массив данных'!L62,'Массив данных'!N62,'Массив данных'!P62,'Массив данных'!R62),"")</f>
        <v>15.5</v>
      </c>
    </row>
    <row r="18" spans="1:8" x14ac:dyDescent="0.25">
      <c r="A18" s="2">
        <v>13</v>
      </c>
      <c r="B18" s="2">
        <v>1998</v>
      </c>
      <c r="C18" s="15">
        <f>IF(AND(ISNUMBER('Массив данных'!C63),ISNUMBER('Массив данных'!G63)),0.5*('Массив данных'!C63+'Массив данных'!G63),"")</f>
        <v>16.134999999999998</v>
      </c>
      <c r="D18" s="15">
        <f>IF(ISNUMBER('Массив данных'!D63),'Массив данных'!D63,"")</f>
        <v>21.200000000000003</v>
      </c>
      <c r="E18" s="15">
        <f>IF(AND(ISNUMBER('Массив данных'!G63),ISNUMBER('Массив данных'!K63)),0.5*('Массив данных'!G63+'Массив данных'!K63),"")</f>
        <v>15.129999999999999</v>
      </c>
      <c r="F18" s="15">
        <f>IF(ISNUMBER('Массив данных'!G63),'Массив данных'!G63,"")</f>
        <v>15.51</v>
      </c>
      <c r="G18" s="15">
        <f>IF(AND(ISNUMBER('Массив данных'!K63),ISNUMBER('Массив данных'!Q63)),0.5*('Массив данных'!K63+'Массив данных'!Q63),"")</f>
        <v>14.68</v>
      </c>
      <c r="H18" s="15">
        <f>IF(AND(ISNUMBER('Массив данных'!L63),ISNUMBER('Массив данных'!N63),ISNUMBER('Массив данных'!P63),ISNUMBER('Массив данных'!R63)),MAX('Массив данных'!L63,'Массив данных'!N63,'Массив данных'!P63,'Массив данных'!R63),"")</f>
        <v>15.39</v>
      </c>
    </row>
    <row r="19" spans="1:8" x14ac:dyDescent="0.25">
      <c r="A19" s="2">
        <v>14</v>
      </c>
      <c r="B19" s="2">
        <v>1999</v>
      </c>
      <c r="C19" s="15">
        <f>IF(AND(ISNUMBER('Массив данных'!C64),ISNUMBER('Массив данных'!G64)),0.5*('Массив данных'!C64+'Массив данных'!G64),"")</f>
        <v>16.2</v>
      </c>
      <c r="D19" s="15">
        <f>IF(ISNUMBER('Массив данных'!D64),'Массив данных'!D64,"")</f>
        <v>20.990000000000002</v>
      </c>
      <c r="E19" s="15">
        <f>IF(AND(ISNUMBER('Массив данных'!G64),ISNUMBER('Массив данных'!K64)),0.5*('Массив данных'!G64+'Массив данных'!K64),"")</f>
        <v>15.14</v>
      </c>
      <c r="F19" s="15">
        <f>IF(ISNUMBER('Массив данных'!G64),'Массив данных'!G64,"")</f>
        <v>15.56</v>
      </c>
      <c r="G19" s="15">
        <f>IF(AND(ISNUMBER('Массив данных'!K64),ISNUMBER('Массив данных'!Q64)),0.5*('Массив данных'!K64+'Массив данных'!Q64),"")</f>
        <v>14.654999999999999</v>
      </c>
      <c r="H19" s="15">
        <f>IF(AND(ISNUMBER('Массив данных'!L64),ISNUMBER('Массив данных'!N64),ISNUMBER('Массив данных'!P64),ISNUMBER('Массив данных'!R64)),MAX('Массив данных'!L64,'Массив данных'!N64,'Массив данных'!P64,'Массив данных'!R64),"")</f>
        <v>15.25</v>
      </c>
    </row>
    <row r="20" spans="1:8" x14ac:dyDescent="0.25">
      <c r="A20" s="2">
        <v>15</v>
      </c>
      <c r="B20" s="2">
        <v>2000</v>
      </c>
      <c r="C20" s="15">
        <f>IF(AND(ISNUMBER('Массив данных'!C65),ISNUMBER('Массив данных'!G65)),0.5*('Массив данных'!C65+'Массив данных'!G65),"")</f>
        <v>15.795000000000002</v>
      </c>
      <c r="D20" s="15">
        <f>IF(ISNUMBER('Массив данных'!D65),'Массив данных'!D65,"")</f>
        <v>20.8</v>
      </c>
      <c r="E20" s="15">
        <f>IF(AND(ISNUMBER('Массив данных'!G65),ISNUMBER('Массив данных'!K65)),0.5*('Массив данных'!G65+'Массив данных'!K65),"")</f>
        <v>15.035</v>
      </c>
      <c r="F20" s="15">
        <f>IF(ISNUMBER('Массив данных'!G65),'Массив данных'!G65,"")</f>
        <v>15.31</v>
      </c>
      <c r="G20" s="15">
        <f>IF(AND(ISNUMBER('Массив данных'!K65),ISNUMBER('Массив данных'!Q65)),0.5*('Массив данных'!K65+'Массив данных'!Q65),"")</f>
        <v>14.75</v>
      </c>
      <c r="H20" s="15">
        <f>IF(AND(ISNUMBER('Массив данных'!L65),ISNUMBER('Массив данных'!N65),ISNUMBER('Массив данных'!P65),ISNUMBER('Массив данных'!R65)),MAX('Массив данных'!L65,'Массив данных'!N65,'Массив данных'!P65,'Массив данных'!R65),"")</f>
        <v>15.31</v>
      </c>
    </row>
    <row r="21" spans="1:8" x14ac:dyDescent="0.25">
      <c r="A21" s="2">
        <v>16</v>
      </c>
      <c r="B21" s="2">
        <v>2001</v>
      </c>
      <c r="C21" s="15">
        <f>IF(AND(ISNUMBER('Массив данных'!C66),ISNUMBER('Массив данных'!G66)),0.5*('Массив данных'!C66+'Массив данных'!G66),"")</f>
        <v>16.234999999999999</v>
      </c>
      <c r="D21" s="15">
        <f>IF(ISNUMBER('Массив данных'!D66),'Массив данных'!D66,"")</f>
        <v>21.48</v>
      </c>
      <c r="E21" s="15">
        <f>IF(AND(ISNUMBER('Массив данных'!G66),ISNUMBER('Массив данных'!K66)),0.5*('Массив данных'!G66+'Массив данных'!K66),"")</f>
        <v>15.36</v>
      </c>
      <c r="F21" s="15">
        <f>IF(ISNUMBER('Массив данных'!G66),'Массив данных'!G66,"")</f>
        <v>15.8</v>
      </c>
      <c r="G21" s="15">
        <f>IF(AND(ISNUMBER('Массив данных'!K66),ISNUMBER('Массив данных'!Q66)),0.5*('Массив данных'!K66+'Массив данных'!Q66),"")</f>
        <v>14.895</v>
      </c>
      <c r="H21" s="15">
        <f>IF(AND(ISNUMBER('Массив данных'!L66),ISNUMBER('Массив данных'!N66),ISNUMBER('Массив данных'!P66),ISNUMBER('Массив данных'!R66)),MAX('Массив данных'!L66,'Массив данных'!N66,'Массив данных'!P66,'Массив данных'!R66),"")</f>
        <v>15.600000000000001</v>
      </c>
    </row>
    <row r="22" spans="1:8" x14ac:dyDescent="0.25">
      <c r="A22" s="2">
        <v>17</v>
      </c>
      <c r="B22" s="2">
        <v>2002</v>
      </c>
      <c r="C22" s="15">
        <f>IF(AND(ISNUMBER('Массив данных'!C67),ISNUMBER('Массив данных'!G67)),0.5*('Массив данных'!C67+'Массив данных'!G67),"")</f>
        <v>16.03</v>
      </c>
      <c r="D22" s="15">
        <f>IF(ISNUMBER('Массив данных'!D67),'Массив данных'!D67,"")</f>
        <v>20.759999999999998</v>
      </c>
      <c r="E22" s="15">
        <f>IF(AND(ISNUMBER('Массив данных'!G67),ISNUMBER('Массив данных'!K67)),0.5*('Массив данных'!G67+'Массив данных'!K67),"")</f>
        <v>15.195</v>
      </c>
      <c r="F22" s="15">
        <f>IF(ISNUMBER('Массив данных'!G67),'Массив данных'!G67,"")</f>
        <v>15.54</v>
      </c>
      <c r="G22" s="15">
        <f>IF(AND(ISNUMBER('Массив данных'!K67),ISNUMBER('Массив данных'!Q67)),0.5*('Массив данных'!K67+'Массив данных'!Q67),"")</f>
        <v>14.825000000000001</v>
      </c>
      <c r="H22" s="15">
        <f>IF(AND(ISNUMBER('Массив данных'!L67),ISNUMBER('Массив данных'!N67),ISNUMBER('Массив данных'!P67),ISNUMBER('Массив данных'!R67)),MAX('Массив данных'!L67,'Массив данных'!N67,'Массив данных'!P67,'Массив данных'!R67),"")</f>
        <v>15.3</v>
      </c>
    </row>
    <row r="23" spans="1:8" x14ac:dyDescent="0.25">
      <c r="A23" s="2">
        <v>18</v>
      </c>
      <c r="B23" s="2">
        <v>2003</v>
      </c>
      <c r="C23" s="15">
        <f>IF(AND(ISNUMBER('Массив данных'!C68),ISNUMBER('Массив данных'!G68)),0.5*('Массив данных'!C68+'Массив данных'!G68),"")</f>
        <v>15.92</v>
      </c>
      <c r="D23" s="15">
        <f>IF(ISNUMBER('Массив данных'!D68),'Массив данных'!D68,"")</f>
        <v>20.92</v>
      </c>
      <c r="E23" s="15">
        <f>IF(AND(ISNUMBER('Массив данных'!G68),ISNUMBER('Массив данных'!K68)),0.5*('Массив данных'!G68+'Массив данных'!K68),"")</f>
        <v>15.219999999999999</v>
      </c>
      <c r="F23" s="15">
        <f>IF(ISNUMBER('Массив данных'!G68),'Массив данных'!G68,"")</f>
        <v>15.52</v>
      </c>
      <c r="G23" s="15">
        <f>IF(AND(ISNUMBER('Массив данных'!K68),ISNUMBER('Массив данных'!Q68)),0.5*('Массив данных'!K68+'Массив данных'!Q68),"")</f>
        <v>14.89</v>
      </c>
      <c r="H23" s="15">
        <f>IF(AND(ISNUMBER('Массив данных'!L68),ISNUMBER('Массив данных'!N68),ISNUMBER('Массив данных'!P68),ISNUMBER('Массив данных'!R68)),MAX('Массив данных'!L68,'Массив данных'!N68,'Массив данных'!P68,'Массив данных'!R68),"")</f>
        <v>15.370000000000001</v>
      </c>
    </row>
    <row r="24" spans="1:8" x14ac:dyDescent="0.25">
      <c r="A24" s="2">
        <v>19</v>
      </c>
      <c r="B24" s="2">
        <v>2004</v>
      </c>
      <c r="C24" s="15">
        <f>IF(AND(ISNUMBER('Массив данных'!C69),ISNUMBER('Массив данных'!G69)),0.5*('Массив данных'!C69+'Массив данных'!G69),"")</f>
        <v>15.95</v>
      </c>
      <c r="D24" s="15">
        <f>IF(ISNUMBER('Массив данных'!D69),'Массив данных'!D69,"")</f>
        <v>21</v>
      </c>
      <c r="E24" s="15">
        <f>IF(AND(ISNUMBER('Массив данных'!G69),ISNUMBER('Массив данных'!K69)),0.5*('Массив данных'!G69+'Массив данных'!K69),"")</f>
        <v>15.175000000000001</v>
      </c>
      <c r="F24" s="15">
        <f>IF(ISNUMBER('Массив данных'!G69),'Массив данных'!G69,"")</f>
        <v>15.52</v>
      </c>
      <c r="G24" s="15">
        <f>IF(AND(ISNUMBER('Массив данных'!K69),ISNUMBER('Массив данных'!Q69)),0.5*('Массив данных'!K69+'Массив данных'!Q69),"")</f>
        <v>14.805</v>
      </c>
      <c r="H24" s="15">
        <f>IF(AND(ISNUMBER('Массив данных'!L69),ISNUMBER('Массив данных'!N69),ISNUMBER('Массив данных'!P69),ISNUMBER('Массив данных'!R69)),MAX('Массив данных'!L69,'Массив данных'!N69,'Массив данных'!P69,'Массив данных'!R69),"")</f>
        <v>15.32</v>
      </c>
    </row>
    <row r="25" spans="1:8" x14ac:dyDescent="0.25">
      <c r="A25" s="2">
        <v>20</v>
      </c>
      <c r="B25" s="2">
        <v>2005</v>
      </c>
      <c r="C25" s="15">
        <f>IF(AND(ISNUMBER('Массив данных'!C70),ISNUMBER('Массив данных'!G70)),0.5*('Массив данных'!C70+'Массив данных'!G70),"")</f>
        <v>16.215</v>
      </c>
      <c r="D25" s="15">
        <f>IF(ISNUMBER('Массив данных'!D70),'Массив данных'!D70,"")</f>
        <v>21.66</v>
      </c>
      <c r="E25" s="15">
        <f>IF(AND(ISNUMBER('Массив данных'!G70),ISNUMBER('Массив данных'!K70)),0.5*('Массив данных'!G70+'Массив данных'!K70),"")</f>
        <v>15.355</v>
      </c>
      <c r="F25" s="15">
        <f>IF(ISNUMBER('Массив данных'!G70),'Массив данных'!G70,"")</f>
        <v>15.75</v>
      </c>
      <c r="G25" s="15">
        <f>IF(AND(ISNUMBER('Массив данных'!K70),ISNUMBER('Массив данных'!Q70)),0.5*('Массив данных'!K70+'Массив данных'!Q70),"")</f>
        <v>14.93</v>
      </c>
      <c r="H25" s="15">
        <f>IF(AND(ISNUMBER('Массив данных'!L70),ISNUMBER('Массив данных'!N70),ISNUMBER('Массив данных'!P70),ISNUMBER('Массив данных'!R70)),MAX('Массив данных'!L70,'Массив данных'!N70,'Массив данных'!P70,'Массив данных'!R70),"")</f>
        <v>15.77</v>
      </c>
    </row>
    <row r="26" spans="1:8" x14ac:dyDescent="0.25">
      <c r="A26" s="2">
        <v>21</v>
      </c>
      <c r="B26" s="2">
        <v>2006</v>
      </c>
      <c r="C26" s="15">
        <f>IF(AND(ISNUMBER('Массив данных'!C71),ISNUMBER('Массив данных'!G71)),0.5*('Массив данных'!C71+'Массив данных'!G71),"")</f>
        <v>15.565</v>
      </c>
      <c r="D26" s="15">
        <f>IF(ISNUMBER('Массив данных'!D71),'Массив данных'!D71,"")</f>
        <v>19.850000000000001</v>
      </c>
      <c r="E26" s="15">
        <f>IF(AND(ISNUMBER('Массив данных'!G71),ISNUMBER('Массив данных'!K71)),0.5*('Массив данных'!G71+'Массив данных'!K71),"")</f>
        <v>15.055</v>
      </c>
      <c r="F26" s="15">
        <f>IF(ISNUMBER('Массив данных'!G71),'Массив данных'!G71,"")</f>
        <v>15.29</v>
      </c>
      <c r="G26" s="15">
        <f>IF(AND(ISNUMBER('Массив данных'!K71),ISNUMBER('Массив данных'!Q71)),0.5*('Массив данных'!K71+'Массив данных'!Q71),"")</f>
        <v>14.81</v>
      </c>
      <c r="H26" s="15">
        <f>IF(AND(ISNUMBER('Массив данных'!L71),ISNUMBER('Массив данных'!N71),ISNUMBER('Массив данных'!P71),ISNUMBER('Массив данных'!R71)),MAX('Массив данных'!L71,'Массив данных'!N71,'Массив данных'!P71,'Массив данных'!R71),"")</f>
        <v>15.5</v>
      </c>
    </row>
    <row r="27" spans="1:8" x14ac:dyDescent="0.25">
      <c r="A27" s="2">
        <v>22</v>
      </c>
      <c r="B27" s="2">
        <v>2007</v>
      </c>
      <c r="C27" s="15">
        <f>IF(AND(ISNUMBER('Массив данных'!C72),ISNUMBER('Массив данных'!G72)),0.5*('Массив данных'!C72+'Массив данных'!G72),"")</f>
        <v>16.189999999999998</v>
      </c>
      <c r="D27" s="15">
        <f>IF(ISNUMBER('Массив данных'!D72),'Массив данных'!D72,"")</f>
        <v>20.950000000000003</v>
      </c>
      <c r="E27" s="15">
        <f>IF(AND(ISNUMBER('Массив данных'!G72),ISNUMBER('Массив данных'!K72)),0.5*('Массив данных'!G72+'Массив данных'!K72),"")</f>
        <v>15.274999999999999</v>
      </c>
      <c r="F27" s="15">
        <f>IF(ISNUMBER('Массив данных'!G72),'Массив данных'!G72,"")</f>
        <v>15.719999999999999</v>
      </c>
      <c r="G27" s="15">
        <f>IF(AND(ISNUMBER('Массив данных'!K72),ISNUMBER('Массив данных'!Q72)),0.5*('Массив данных'!K72+'Массив данных'!Q72),"")</f>
        <v>14.79</v>
      </c>
      <c r="H27" s="15">
        <f>IF(AND(ISNUMBER('Массив данных'!L72),ISNUMBER('Массив данных'!N72),ISNUMBER('Массив данных'!P72),ISNUMBER('Массив данных'!R72)),MAX('Массив данных'!L72,'Массив данных'!N72,'Массив данных'!P72,'Массив данных'!R72),"")</f>
        <v>15.41</v>
      </c>
    </row>
    <row r="28" spans="1:8" x14ac:dyDescent="0.25">
      <c r="A28" s="2">
        <v>23</v>
      </c>
      <c r="B28" s="2">
        <v>2008</v>
      </c>
      <c r="C28" s="15">
        <f>IF(AND(ISNUMBER('Массив данных'!C73),ISNUMBER('Массив данных'!G73)),0.5*('Массив данных'!C73+'Массив данных'!G73),"")</f>
        <v>15.715000000000002</v>
      </c>
      <c r="D28" s="15">
        <f>IF(ISNUMBER('Массив данных'!D73),'Массив данных'!D73,"")</f>
        <v>21.16</v>
      </c>
      <c r="E28" s="15">
        <f>IF(AND(ISNUMBER('Массив данных'!G73),ISNUMBER('Массив данных'!K73)),0.5*('Массив данных'!G73+'Массив данных'!K73),"")</f>
        <v>15.055</v>
      </c>
      <c r="F28" s="15">
        <f>IF(ISNUMBER('Массив данных'!G73),'Массив данных'!G73,"")</f>
        <v>15.370000000000001</v>
      </c>
      <c r="G28" s="15">
        <f>IF(AND(ISNUMBER('Массив данных'!K73),ISNUMBER('Массив данных'!Q73)),0.5*('Массив данных'!K73+'Массив данных'!Q73),"")</f>
        <v>14.73</v>
      </c>
      <c r="H28" s="15">
        <f>IF(AND(ISNUMBER('Массив данных'!L73),ISNUMBER('Массив данных'!N73),ISNUMBER('Массив данных'!P73),ISNUMBER('Массив данных'!R73)),MAX('Массив данных'!L73,'Массив данных'!N73,'Массив данных'!P73,'Массив данных'!R73),"")</f>
        <v>15.690000000000001</v>
      </c>
    </row>
    <row r="29" spans="1:8" x14ac:dyDescent="0.25">
      <c r="A29" s="2">
        <v>24</v>
      </c>
      <c r="B29" s="2">
        <v>2009</v>
      </c>
      <c r="C29" s="15">
        <f>IF(AND(ISNUMBER('Массив данных'!C74),ISNUMBER('Массив данных'!G74)),0.5*('Массив данных'!C74+'Массив данных'!G74),"")</f>
        <v>15.77</v>
      </c>
      <c r="D29" s="15">
        <f>IF(ISNUMBER('Массив данных'!D74),'Массив данных'!D74,"")</f>
        <v>21.1</v>
      </c>
      <c r="E29" s="15">
        <f>IF(AND(ISNUMBER('Массив данных'!G74),ISNUMBER('Массив данных'!K74)),0.5*('Массив данных'!G74+'Массив данных'!K74),"")</f>
        <v>15.055</v>
      </c>
      <c r="F29" s="15">
        <f>IF(ISNUMBER('Массив данных'!G74),'Массив данных'!G74,"")</f>
        <v>15.379999999999999</v>
      </c>
      <c r="G29" s="15">
        <f>IF(AND(ISNUMBER('Массив данных'!K74),ISNUMBER('Массив данных'!Q74)),0.5*('Массив данных'!K74+'Массив данных'!Q74),"")</f>
        <v>14.705</v>
      </c>
      <c r="H29" s="15">
        <f>IF(AND(ISNUMBER('Массив данных'!L74),ISNUMBER('Массив данных'!N74),ISNUMBER('Массив данных'!P74),ISNUMBER('Массив данных'!R74)),MAX('Массив данных'!L74,'Массив данных'!N74,'Массив данных'!P74,'Массив данных'!R74),"")</f>
        <v>15.45</v>
      </c>
    </row>
    <row r="30" spans="1:8" x14ac:dyDescent="0.25">
      <c r="A30" s="2">
        <v>25</v>
      </c>
      <c r="B30" s="2">
        <v>2010</v>
      </c>
      <c r="C30" s="15">
        <f>IF(AND(ISNUMBER('Массив данных'!C75),ISNUMBER('Массив данных'!G75)),0.5*('Массив данных'!C75+'Массив данных'!G75),"")</f>
        <v>15.309999999999999</v>
      </c>
      <c r="D30" s="15">
        <f>IF(ISNUMBER('Массив данных'!D75),'Массив данных'!D75,"")</f>
        <v>21.07</v>
      </c>
      <c r="E30" s="15">
        <f>IF(AND(ISNUMBER('Массив данных'!G75),ISNUMBER('Массив данных'!K75)),0.5*('Массив данных'!G75+'Массив данных'!K75),"")</f>
        <v>14.635000000000002</v>
      </c>
      <c r="F30" s="15">
        <f>IF(ISNUMBER('Массив данных'!G75),'Массив данных'!G75,"")</f>
        <v>14.9</v>
      </c>
      <c r="G30" s="15">
        <f>IF(AND(ISNUMBER('Массив данных'!K75),ISNUMBER('Массив данных'!Q75)),0.5*('Массив данных'!K75+'Массив данных'!Q75),"")</f>
        <v>14.365</v>
      </c>
      <c r="H30" s="15">
        <f>IF(AND(ISNUMBER('Массив данных'!L75),ISNUMBER('Массив данных'!N75),ISNUMBER('Массив данных'!P75),ISNUMBER('Массив данных'!R75)),MAX('Массив данных'!L75,'Массив данных'!N75,'Массив данных'!P75,'Массив данных'!R75),"")</f>
        <v>15.600000000000001</v>
      </c>
    </row>
    <row r="31" spans="1:8" x14ac:dyDescent="0.25">
      <c r="A31" s="2">
        <v>26</v>
      </c>
      <c r="B31" s="2">
        <v>2011</v>
      </c>
      <c r="C31" s="15">
        <f>IF(AND(ISNUMBER('Массив данных'!C76),ISNUMBER('Массив данных'!G76)),0.5*('Массив данных'!C76+'Массив данных'!G76),"")</f>
        <v>15.305</v>
      </c>
      <c r="D31" s="15">
        <f>IF(ISNUMBER('Массив данных'!D76),'Массив данных'!D76,"")</f>
        <v>20.72</v>
      </c>
      <c r="E31" s="15">
        <f>IF(AND(ISNUMBER('Массив данных'!G76),ISNUMBER('Массив данных'!K76)),0.5*('Массив данных'!G76+'Массив данных'!K76),"")</f>
        <v>14.645</v>
      </c>
      <c r="F31" s="15">
        <f>IF(ISNUMBER('Массив данных'!G76),'Массив данных'!G76,"")</f>
        <v>14.9</v>
      </c>
      <c r="G31" s="15">
        <f>IF(AND(ISNUMBER('Массив данных'!K76),ISNUMBER('Массив данных'!Q76)),0.5*('Массив данных'!K76+'Массив данных'!Q76),"")</f>
        <v>14.405000000000001</v>
      </c>
      <c r="H31" s="15">
        <f>IF(AND(ISNUMBER('Массив данных'!L76),ISNUMBER('Массив данных'!N76),ISNUMBER('Массив данных'!P76),ISNUMBER('Массив данных'!R76)),MAX('Массив данных'!L76,'Массив данных'!N76,'Массив данных'!P76,'Массив данных'!R76),"")</f>
        <v>15.49</v>
      </c>
    </row>
    <row r="32" spans="1:8" x14ac:dyDescent="0.25">
      <c r="A32" s="2">
        <v>27</v>
      </c>
      <c r="B32" s="2">
        <v>2012</v>
      </c>
      <c r="C32" s="15">
        <f>IF(AND(ISNUMBER('Массив данных'!C77),ISNUMBER('Массив данных'!G77)),0.5*('Массив данных'!C77+'Массив данных'!G77),"")</f>
        <v>15.655000000000001</v>
      </c>
      <c r="D32" s="15">
        <f>IF(ISNUMBER('Массив данных'!D77),'Массив данных'!D77,"")</f>
        <v>21.33</v>
      </c>
      <c r="E32" s="15">
        <f>IF(AND(ISNUMBER('Массив данных'!G77),ISNUMBER('Массив данных'!K77)),0.5*('Массив данных'!G77+'Массив данных'!K77),"")</f>
        <v>14.920000000000002</v>
      </c>
      <c r="F32" s="15">
        <f>IF(ISNUMBER('Массив данных'!G77),'Массив данных'!G77,"")</f>
        <v>15.190000000000001</v>
      </c>
      <c r="G32" s="15">
        <f>IF(AND(ISNUMBER('Массив данных'!K77),ISNUMBER('Массив данных'!Q77)),0.5*('Массив данных'!K77+'Массив данных'!Q77),"")</f>
        <v>14.625</v>
      </c>
      <c r="H32" s="15">
        <f>IF(AND(ISNUMBER('Массив данных'!L77),ISNUMBER('Массив данных'!N77),ISNUMBER('Массив данных'!P77),ISNUMBER('Массив данных'!R77)),MAX('Массив данных'!L77,'Массив данных'!N77,'Массив данных'!P77,'Массив данных'!R77),"")</f>
        <v>15.52</v>
      </c>
    </row>
    <row r="33" spans="1:10" x14ac:dyDescent="0.25">
      <c r="A33" s="2">
        <v>28</v>
      </c>
      <c r="B33" s="2">
        <v>2013</v>
      </c>
      <c r="C33" s="15">
        <f>IF(AND(ISNUMBER('Массив данных'!C78),ISNUMBER('Массив данных'!G78)),0.5*('Массив данных'!C78+'Массив данных'!G78),"")</f>
        <v>16.060000000000002</v>
      </c>
      <c r="D33" s="15">
        <f>IF(ISNUMBER('Массив данных'!D78),'Массив данных'!D78,"")</f>
        <v>21.23</v>
      </c>
      <c r="E33" s="15">
        <f>IF(AND(ISNUMBER('Массив данных'!G78),ISNUMBER('Массив данных'!K78)),0.5*('Массив данных'!G78+'Массив данных'!K78),"")</f>
        <v>15.15</v>
      </c>
      <c r="F33" s="15">
        <f>IF(ISNUMBER('Массив данных'!G78),'Массив данных'!G78,"")</f>
        <v>15.48</v>
      </c>
      <c r="G33" s="15">
        <f>IF(AND(ISNUMBER('Массив данных'!K78),ISNUMBER('Массив данных'!Q78)),0.5*('Массив данных'!K78+'Массив данных'!Q78),"")</f>
        <v>14.755000000000001</v>
      </c>
      <c r="H33" s="15">
        <f>IF(AND(ISNUMBER('Массив данных'!L78),ISNUMBER('Массив данных'!N78),ISNUMBER('Массив данных'!P78),ISNUMBER('Массив данных'!R78)),MAX('Массив данных'!L78,'Массив данных'!N78,'Массив данных'!P78,'Массив данных'!R78),"")</f>
        <v>15.370000000000001</v>
      </c>
    </row>
    <row r="34" spans="1:10" x14ac:dyDescent="0.25">
      <c r="A34" s="2">
        <v>29</v>
      </c>
      <c r="B34" s="2">
        <v>2014</v>
      </c>
      <c r="C34" s="15">
        <f>IF(AND(ISNUMBER('Массив данных'!C79),ISNUMBER('Массив данных'!G79)),0.5*('Массив данных'!C79+'Массив данных'!G79),"")</f>
        <v>15.530000000000001</v>
      </c>
      <c r="D34" s="15">
        <f>IF(ISNUMBER('Массив данных'!D79),'Массив данных'!D79,"")</f>
        <v>20.310000000000002</v>
      </c>
      <c r="E34" s="15">
        <f>IF(AND(ISNUMBER('Массив данных'!G79),ISNUMBER('Массив данных'!K79)),0.5*('Массив данных'!G79+'Массив данных'!K79),"")</f>
        <v>14.77</v>
      </c>
      <c r="F34" s="15">
        <f>IF(ISNUMBER('Массив данных'!G79),'Массив данных'!G79,"")</f>
        <v>14.99</v>
      </c>
      <c r="G34" s="15">
        <f>IF(AND(ISNUMBER('Массив данных'!K79),ISNUMBER('Массив данных'!Q79)),0.5*('Массив данных'!K79+'Массив данных'!Q79),"")</f>
        <v>14.52</v>
      </c>
      <c r="H34" s="15">
        <f>IF(AND(ISNUMBER('Массив данных'!L79),ISNUMBER('Массив данных'!N79),ISNUMBER('Массив данных'!P79),ISNUMBER('Массив данных'!R79)),MAX('Массив данных'!L79,'Массив данных'!N79,'Массив данных'!P79,'Массив данных'!R79),"")</f>
        <v>15.45</v>
      </c>
    </row>
    <row r="35" spans="1:10" x14ac:dyDescent="0.25">
      <c r="A35" s="2">
        <v>30</v>
      </c>
      <c r="B35" s="2">
        <v>2015</v>
      </c>
      <c r="C35" s="15">
        <f>IF(AND(ISNUMBER('Массив данных'!C80),ISNUMBER('Массив данных'!G80)),0.5*('Массив данных'!C80+'Массив данных'!G80),"")</f>
        <v>15.345000000000001</v>
      </c>
      <c r="D35" s="15">
        <f>IF(ISNUMBER('Массив данных'!D80),'Массив данных'!D80,"")</f>
        <v>18.439999999999998</v>
      </c>
      <c r="E35" s="15">
        <f>IF(AND(ISNUMBER('Массив данных'!G80),ISNUMBER('Массив данных'!K80)),0.5*('Массив данных'!G80+'Массив данных'!K80),"")</f>
        <v>14.734999999999999</v>
      </c>
      <c r="F35" s="15">
        <f>IF(ISNUMBER('Массив данных'!G80),'Массив данных'!G80,"")</f>
        <v>14.89</v>
      </c>
      <c r="G35" s="15">
        <f>IF(AND(ISNUMBER('Массив данных'!K80),ISNUMBER('Массив данных'!Q80)),0.5*('Массив данных'!K80+'Массив данных'!Q80),"")</f>
        <v>14.55</v>
      </c>
      <c r="H35" s="15">
        <f>IF(AND(ISNUMBER('Массив данных'!L80),ISNUMBER('Массив данных'!N80),ISNUMBER('Массив данных'!P80),ISNUMBER('Массив данных'!R80)),MAX('Массив данных'!L80,'Массив данных'!N80,'Массив данных'!P80,'Массив данных'!R80),"")</f>
        <v>15.18</v>
      </c>
    </row>
    <row r="36" spans="1:10" x14ac:dyDescent="0.25">
      <c r="A36" s="2">
        <v>31</v>
      </c>
      <c r="B36" s="2">
        <v>2016</v>
      </c>
      <c r="C36" s="15">
        <f>IF(AND(ISNUMBER('Массив данных'!C81),ISNUMBER('Массив данных'!G81)),0.5*('Массив данных'!C81+'Массив данных'!G81),"")</f>
        <v>15.94</v>
      </c>
      <c r="D36" s="15">
        <f>IF(ISNUMBER('Массив данных'!D81),'Массив данных'!D81,"")</f>
        <v>21.68</v>
      </c>
      <c r="E36" s="15">
        <f>IF(AND(ISNUMBER('Массив данных'!G81),ISNUMBER('Массив данных'!K81)),0.5*('Массив данных'!G81+'Массив данных'!K81),"")</f>
        <v>15.135</v>
      </c>
      <c r="F36" s="15">
        <f>IF(ISNUMBER('Массив данных'!G81),'Массив данных'!G81,"")</f>
        <v>15.43</v>
      </c>
      <c r="G36" s="15">
        <f>IF(AND(ISNUMBER('Массив данных'!K81),ISNUMBER('Массив данных'!Q81)),0.5*('Массив данных'!K81+'Массив данных'!Q81),"")</f>
        <v>14.785</v>
      </c>
      <c r="H36" s="15">
        <f>IF(AND(ISNUMBER('Массив данных'!L81),ISNUMBER('Массив данных'!N81),ISNUMBER('Массив данных'!P81),ISNUMBER('Массив данных'!R81)),MAX('Массив данных'!L81,'Массив данных'!N81,'Массив данных'!P81,'Массив данных'!R81),"")</f>
        <v>15.600000000000001</v>
      </c>
    </row>
    <row r="37" spans="1:10" x14ac:dyDescent="0.25">
      <c r="A37" s="2">
        <v>32</v>
      </c>
      <c r="B37" s="2">
        <v>2017</v>
      </c>
      <c r="C37" s="15">
        <f>IF(AND(ISNUMBER('Массив данных'!C82),ISNUMBER('Массив данных'!G82)),0.5*('Массив данных'!C82+'Массив данных'!G82),"")</f>
        <v>16.055</v>
      </c>
      <c r="D37" s="15">
        <f>IF(ISNUMBER('Массив данных'!D82),'Массив данных'!D82,"")</f>
        <v>20.72</v>
      </c>
      <c r="E37" s="15">
        <f>IF(AND(ISNUMBER('Массив данных'!G82),ISNUMBER('Массив данных'!K82)),0.5*('Массив данных'!G82+'Массив данных'!K82),"")</f>
        <v>15.19</v>
      </c>
      <c r="F37" s="15">
        <f>IF(ISNUMBER('Массив данных'!G82),'Массив данных'!G82,"")</f>
        <v>15.54</v>
      </c>
      <c r="G37" s="15">
        <f>IF(AND(ISNUMBER('Массив данных'!K82),ISNUMBER('Массив данных'!Q82)),0.5*('Массив данных'!K82+'Массив данных'!Q82),"")</f>
        <v>14.78</v>
      </c>
      <c r="H37" s="15">
        <f>IF(AND(ISNUMBER('Массив данных'!L82),ISNUMBER('Массив данных'!N82),ISNUMBER('Массив данных'!P82),ISNUMBER('Массив данных'!R82)),MAX('Массив данных'!L82,'Массив данных'!N82,'Массив данных'!P82,'Массив данных'!R82),"")</f>
        <v>15.45</v>
      </c>
      <c r="J37" s="20" t="s">
        <v>28</v>
      </c>
    </row>
    <row r="38" spans="1:10" x14ac:dyDescent="0.25">
      <c r="A38" s="2">
        <v>33</v>
      </c>
      <c r="B38" s="2">
        <v>2018</v>
      </c>
      <c r="C38" s="15">
        <f>IF(AND(ISNUMBER('Массив данных'!C83),ISNUMBER('Массив данных'!G83)),0.5*('Массив данных'!C83+'Массив данных'!G83),"")</f>
        <v>15.844999999999999</v>
      </c>
      <c r="D38" s="15">
        <f>IF(ISNUMBER('Массив данных'!D83),'Массив данных'!D83,"")</f>
        <v>21.380000000000003</v>
      </c>
      <c r="E38" s="15">
        <f>IF(AND(ISNUMBER('Массив данных'!G83),ISNUMBER('Массив данных'!K83)),0.5*('Массив данных'!G83+'Массив данных'!K83),"")</f>
        <v>14.959999999999999</v>
      </c>
      <c r="F38" s="15">
        <f>IF(ISNUMBER('Массив данных'!G83),'Массив данных'!G83,"")</f>
        <v>15.219999999999999</v>
      </c>
      <c r="G38" s="15">
        <f>IF(AND(ISNUMBER('Массив данных'!K83),ISNUMBER('Массив данных'!Q83)),0.5*('Массив данных'!K83+'Массив данных'!Q83),"")</f>
        <v>14.64</v>
      </c>
      <c r="H38" s="15">
        <f>IF(AND(ISNUMBER('Массив данных'!L83),ISNUMBER('Массив данных'!N83),ISNUMBER('Массив данных'!P83),ISNUMBER('Массив данных'!R83)),MAX('Массив данных'!L83,'Массив данных'!N83,'Массив данных'!P83,'Массив данных'!R83),"")</f>
        <v>15.2</v>
      </c>
    </row>
    <row r="39" spans="1:10" x14ac:dyDescent="0.25">
      <c r="A39" s="20" t="s">
        <v>31</v>
      </c>
      <c r="G39" s="21">
        <f>AVERAGE(G6:G38)</f>
        <v>14.670151515151515</v>
      </c>
      <c r="H39" s="21">
        <f>AVERAGE(H6:H38)</f>
        <v>15.431515151515152</v>
      </c>
    </row>
    <row r="69" spans="10:10" x14ac:dyDescent="0.25">
      <c r="J69" s="20" t="s">
        <v>29</v>
      </c>
    </row>
    <row r="92" spans="3:4" x14ac:dyDescent="0.25">
      <c r="C92" s="20" t="s">
        <v>30</v>
      </c>
      <c r="D92" s="20"/>
    </row>
  </sheetData>
  <mergeCells count="5">
    <mergeCell ref="A3:A4"/>
    <mergeCell ref="B3:B4"/>
    <mergeCell ref="C3:D3"/>
    <mergeCell ref="E3:F3"/>
    <mergeCell ref="G3:H3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Массив данных</vt:lpstr>
      <vt:lpstr>Данные по участкам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2022-01-13T09:47:15Z</dcterms:modified>
</cp:coreProperties>
</file>