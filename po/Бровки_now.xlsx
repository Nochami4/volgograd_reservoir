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iplom\po\"/>
    </mc:Choice>
  </mc:AlternateContent>
  <xr:revisionPtr revIDLastSave="0" documentId="13_ncr:1_{AB36E2AA-6811-4D2A-8B6B-677219417A8E}" xr6:coauthVersionLast="47" xr6:coauthVersionMax="47" xr10:uidLastSave="{00000000-0000-0000-0000-000000000000}"/>
  <bookViews>
    <workbookView xWindow="19110" yWindow="0" windowWidth="19380" windowHeight="20970" firstSheet="5" activeTab="9" xr2:uid="{00000000-000D-0000-FFFF-FFFF00000000}"/>
  </bookViews>
  <sheets>
    <sheet name="Бережновка" sheetId="1" r:id="rId1"/>
    <sheet name="Бурты" sheetId="5" r:id="rId2"/>
    <sheet name="Молчановка" sheetId="4" r:id="rId3"/>
    <sheet name="Нижний Балыклей" sheetId="2" r:id="rId4"/>
    <sheet name="Нижний Ураков" sheetId="9" r:id="rId5"/>
    <sheet name="Новоникольское" sheetId="8" r:id="rId6"/>
    <sheet name="Пичуга-Южный" sheetId="7" r:id="rId7"/>
    <sheet name="Пролейский" sheetId="6" r:id="rId8"/>
    <sheet name="Суводская" sheetId="10" r:id="rId9"/>
    <sheet name="Ураков Бугор 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J7" i="10"/>
  <c r="U7" i="10"/>
  <c r="P7" i="10"/>
  <c r="K7" i="10"/>
  <c r="F7" i="10"/>
  <c r="F6" i="10"/>
  <c r="E7" i="10"/>
  <c r="O27" i="2"/>
  <c r="J27" i="2"/>
  <c r="O23" i="8"/>
  <c r="J23" i="8"/>
  <c r="E23" i="8"/>
  <c r="J17" i="7"/>
  <c r="E20" i="7"/>
  <c r="J15" i="7"/>
  <c r="J18" i="7"/>
  <c r="O20" i="7"/>
  <c r="J20" i="7"/>
  <c r="J26" i="1"/>
  <c r="O26" i="1"/>
  <c r="E26" i="1"/>
  <c r="E27" i="13"/>
  <c r="J27" i="13"/>
  <c r="O27" i="13"/>
  <c r="O27" i="5"/>
  <c r="J27" i="5"/>
  <c r="E27" i="5"/>
  <c r="O27" i="6"/>
  <c r="J27" i="6"/>
  <c r="O22" i="8"/>
  <c r="O21" i="8"/>
  <c r="J22" i="8"/>
  <c r="E22" i="8"/>
  <c r="J26" i="13"/>
  <c r="E26" i="13"/>
  <c r="J25" i="13"/>
  <c r="E25" i="13"/>
  <c r="O26" i="5"/>
  <c r="J26" i="5"/>
  <c r="E26" i="5"/>
  <c r="O26" i="6"/>
  <c r="J26" i="6"/>
  <c r="T26" i="9"/>
  <c r="O26" i="9"/>
  <c r="E26" i="9"/>
  <c r="O26" i="4"/>
  <c r="J26" i="4"/>
  <c r="E26" i="4"/>
  <c r="O26" i="2"/>
  <c r="J26" i="2"/>
  <c r="J25" i="1"/>
  <c r="O25" i="1"/>
  <c r="E25" i="1"/>
  <c r="O25" i="2"/>
  <c r="J25" i="2"/>
  <c r="O25" i="4"/>
  <c r="J25" i="4"/>
  <c r="E25" i="4"/>
  <c r="O19" i="7"/>
  <c r="J19" i="7"/>
  <c r="T25" i="9"/>
  <c r="O25" i="9"/>
  <c r="J25" i="9"/>
  <c r="E25" i="9"/>
  <c r="E24" i="5"/>
  <c r="J24" i="13"/>
  <c r="F80" i="13"/>
  <c r="K80" i="13" s="1"/>
  <c r="F79" i="13"/>
  <c r="K79" i="13" s="1"/>
  <c r="F78" i="13"/>
  <c r="K78" i="13" s="1"/>
  <c r="F77" i="13"/>
  <c r="K77" i="13" s="1"/>
  <c r="F76" i="13"/>
  <c r="K76" i="13" s="1"/>
  <c r="F75" i="13"/>
  <c r="K75" i="13" s="1"/>
  <c r="F74" i="13"/>
  <c r="K74" i="13" s="1"/>
  <c r="F73" i="13"/>
  <c r="K73" i="13" s="1"/>
  <c r="F72" i="13"/>
  <c r="K72" i="13" s="1"/>
  <c r="F71" i="13"/>
  <c r="K71" i="13" s="1"/>
  <c r="F70" i="13"/>
  <c r="K70" i="13" s="1"/>
  <c r="F69" i="13"/>
  <c r="K69" i="13" s="1"/>
  <c r="F68" i="13"/>
  <c r="K68" i="13" s="1"/>
  <c r="F67" i="13"/>
  <c r="K67" i="13" s="1"/>
  <c r="F66" i="13"/>
  <c r="K66" i="13" s="1"/>
  <c r="F65" i="13"/>
  <c r="K65" i="13" s="1"/>
  <c r="F64" i="13"/>
  <c r="K64" i="13" s="1"/>
  <c r="F63" i="13"/>
  <c r="K63" i="13" s="1"/>
  <c r="F62" i="13"/>
  <c r="K62" i="13" s="1"/>
  <c r="F61" i="13"/>
  <c r="K61" i="13" s="1"/>
  <c r="F60" i="13"/>
  <c r="K60" i="13" s="1"/>
  <c r="F59" i="13"/>
  <c r="K59" i="13" s="1"/>
  <c r="F58" i="13"/>
  <c r="K58" i="13" s="1"/>
  <c r="F57" i="13"/>
  <c r="K57" i="13" s="1"/>
  <c r="F56" i="13"/>
  <c r="K56" i="13" s="1"/>
  <c r="F55" i="13"/>
  <c r="K55" i="13" s="1"/>
  <c r="F54" i="13"/>
  <c r="K54" i="13" s="1"/>
  <c r="F53" i="13"/>
  <c r="K53" i="13" s="1"/>
  <c r="F52" i="13"/>
  <c r="K52" i="13" s="1"/>
  <c r="F51" i="13"/>
  <c r="K51" i="13" s="1"/>
  <c r="F50" i="13"/>
  <c r="K50" i="13" s="1"/>
  <c r="F49" i="13"/>
  <c r="K49" i="13" s="1"/>
  <c r="F48" i="13"/>
  <c r="K48" i="13" s="1"/>
  <c r="F47" i="13"/>
  <c r="K47" i="13" s="1"/>
  <c r="F46" i="13"/>
  <c r="K46" i="13" s="1"/>
  <c r="F45" i="13"/>
  <c r="K45" i="13" s="1"/>
  <c r="F44" i="13"/>
  <c r="K44" i="13" s="1"/>
  <c r="F43" i="13"/>
  <c r="K43" i="13" s="1"/>
  <c r="F42" i="13"/>
  <c r="K42" i="13" s="1"/>
  <c r="F41" i="13"/>
  <c r="K41" i="13" s="1"/>
  <c r="F40" i="13"/>
  <c r="K40" i="13" s="1"/>
  <c r="F39" i="13"/>
  <c r="K39" i="13" s="1"/>
  <c r="F38" i="13"/>
  <c r="K38" i="13" s="1"/>
  <c r="F37" i="13"/>
  <c r="K37" i="13" s="1"/>
  <c r="F36" i="13"/>
  <c r="K36" i="13" s="1"/>
  <c r="F35" i="13"/>
  <c r="K35" i="13" s="1"/>
  <c r="F34" i="13"/>
  <c r="K34" i="13" s="1"/>
  <c r="F33" i="13"/>
  <c r="K33" i="13" s="1"/>
  <c r="F32" i="13"/>
  <c r="K32" i="13" s="1"/>
  <c r="F31" i="13"/>
  <c r="K31" i="13" s="1"/>
  <c r="F30" i="13"/>
  <c r="K30" i="13" s="1"/>
  <c r="F29" i="13"/>
  <c r="K29" i="13" s="1"/>
  <c r="F28" i="13"/>
  <c r="K28" i="13" s="1"/>
  <c r="F27" i="13"/>
  <c r="K27" i="13" s="1"/>
  <c r="F26" i="13"/>
  <c r="K26" i="13" s="1"/>
  <c r="F25" i="13"/>
  <c r="K25" i="13" s="1"/>
  <c r="F24" i="13"/>
  <c r="K24" i="13" s="1"/>
  <c r="E24" i="13"/>
  <c r="O23" i="13"/>
  <c r="F23" i="13"/>
  <c r="K23" i="13" s="1"/>
  <c r="O22" i="13"/>
  <c r="J22" i="13"/>
  <c r="F22" i="13"/>
  <c r="K22" i="13" s="1"/>
  <c r="E22" i="13"/>
  <c r="O21" i="13"/>
  <c r="J21" i="13"/>
  <c r="F21" i="13"/>
  <c r="K21" i="13" s="1"/>
  <c r="O20" i="13"/>
  <c r="J20" i="13"/>
  <c r="F20" i="13"/>
  <c r="K20" i="13" s="1"/>
  <c r="E20" i="13"/>
  <c r="O19" i="13"/>
  <c r="J19" i="13"/>
  <c r="F19" i="13"/>
  <c r="K19" i="13" s="1"/>
  <c r="E19" i="13"/>
  <c r="O18" i="13"/>
  <c r="I18" i="13"/>
  <c r="J18" i="13" s="1"/>
  <c r="F18" i="13"/>
  <c r="K18" i="13" s="1"/>
  <c r="D18" i="13"/>
  <c r="E18" i="13" s="1"/>
  <c r="O17" i="13"/>
  <c r="K17" i="13"/>
  <c r="J17" i="13"/>
  <c r="F17" i="13"/>
  <c r="E17" i="13"/>
  <c r="O16" i="13"/>
  <c r="J16" i="13"/>
  <c r="F16" i="13"/>
  <c r="K16" i="13" s="1"/>
  <c r="E16" i="13"/>
  <c r="O15" i="13"/>
  <c r="J15" i="13"/>
  <c r="F15" i="13"/>
  <c r="K15" i="13" s="1"/>
  <c r="E15" i="13"/>
  <c r="O14" i="13"/>
  <c r="J14" i="13"/>
  <c r="F14" i="13"/>
  <c r="K14" i="13" s="1"/>
  <c r="E14" i="13"/>
  <c r="O13" i="13"/>
  <c r="J13" i="13"/>
  <c r="F13" i="13"/>
  <c r="K13" i="13" s="1"/>
  <c r="E13" i="13"/>
  <c r="J12" i="13"/>
  <c r="F12" i="13"/>
  <c r="K12" i="13" s="1"/>
  <c r="E12" i="13"/>
  <c r="J11" i="13"/>
  <c r="F11" i="13"/>
  <c r="K11" i="13" s="1"/>
  <c r="E11" i="13"/>
  <c r="J10" i="13"/>
  <c r="F10" i="13"/>
  <c r="K10" i="13" s="1"/>
  <c r="E10" i="13"/>
  <c r="J9" i="13"/>
  <c r="F9" i="13"/>
  <c r="K9" i="13" s="1"/>
  <c r="E9" i="13"/>
  <c r="J8" i="13"/>
  <c r="F8" i="13"/>
  <c r="K8" i="13" s="1"/>
  <c r="O7" i="13"/>
  <c r="J7" i="13"/>
  <c r="F7" i="13"/>
  <c r="K7" i="13" s="1"/>
  <c r="E7" i="13"/>
  <c r="N6" i="13"/>
  <c r="O6" i="13" s="1"/>
  <c r="I6" i="13"/>
  <c r="J6" i="13" s="1"/>
  <c r="F6" i="13"/>
  <c r="E6" i="13"/>
  <c r="N5" i="13"/>
  <c r="O5" i="13" s="1"/>
  <c r="I5" i="13"/>
  <c r="J5" i="13" s="1"/>
  <c r="F5" i="13"/>
  <c r="K5" i="13" s="1"/>
  <c r="E5" i="13"/>
  <c r="N4" i="13"/>
  <c r="O4" i="13" s="1"/>
  <c r="I4" i="13"/>
  <c r="J4" i="13"/>
  <c r="F4" i="13"/>
  <c r="K4" i="13" s="1"/>
  <c r="E4" i="13"/>
  <c r="O3" i="13"/>
  <c r="J3" i="13"/>
  <c r="F3" i="13"/>
  <c r="K3" i="13" s="1"/>
  <c r="E3" i="13"/>
  <c r="O18" i="7"/>
  <c r="E18" i="7"/>
  <c r="O20" i="8"/>
  <c r="J20" i="8"/>
  <c r="O25" i="5"/>
  <c r="J25" i="5"/>
  <c r="E25" i="5"/>
  <c r="O24" i="5"/>
  <c r="J24" i="5"/>
  <c r="O25" i="6"/>
  <c r="J24" i="6"/>
  <c r="J25" i="6"/>
  <c r="E24" i="6"/>
  <c r="O24" i="6"/>
  <c r="J21" i="8"/>
  <c r="E21" i="8"/>
  <c r="E19" i="8"/>
  <c r="D3" i="1"/>
  <c r="E3" i="1" s="1"/>
  <c r="F3" i="1"/>
  <c r="K3" i="1" s="1"/>
  <c r="J3" i="1"/>
  <c r="D4" i="1"/>
  <c r="E4" i="1" s="1"/>
  <c r="F4" i="1"/>
  <c r="K4" i="1" s="1"/>
  <c r="J4" i="1"/>
  <c r="D5" i="1"/>
  <c r="E5" i="1" s="1"/>
  <c r="F5" i="1"/>
  <c r="K5" i="1" s="1"/>
  <c r="J5" i="1"/>
  <c r="D6" i="1"/>
  <c r="E6" i="1" s="1"/>
  <c r="F6" i="1"/>
  <c r="K6" i="1" s="1"/>
  <c r="J6" i="1"/>
  <c r="D7" i="1"/>
  <c r="E7" i="1" s="1"/>
  <c r="F7" i="1"/>
  <c r="K7" i="1" s="1"/>
  <c r="I7" i="1"/>
  <c r="J7" i="1"/>
  <c r="D8" i="1"/>
  <c r="E8" i="1" s="1"/>
  <c r="F8" i="1"/>
  <c r="K8" i="1" s="1"/>
  <c r="I8" i="1"/>
  <c r="J8" i="1" s="1"/>
  <c r="D9" i="1"/>
  <c r="E9" i="1" s="1"/>
  <c r="F9" i="1"/>
  <c r="K9" i="1" s="1"/>
  <c r="J9" i="1"/>
  <c r="D10" i="1"/>
  <c r="E10" i="1" s="1"/>
  <c r="F10" i="1"/>
  <c r="K10" i="1" s="1"/>
  <c r="I10" i="1"/>
  <c r="J10" i="1" s="1"/>
  <c r="D11" i="1"/>
  <c r="E11" i="1" s="1"/>
  <c r="F11" i="1"/>
  <c r="K11" i="1" s="1"/>
  <c r="I11" i="1"/>
  <c r="J11" i="1" s="1"/>
  <c r="E12" i="1"/>
  <c r="F12" i="1"/>
  <c r="K12" i="1" s="1"/>
  <c r="E13" i="1"/>
  <c r="F13" i="1"/>
  <c r="K13" i="1" s="1"/>
  <c r="J13" i="1"/>
  <c r="E14" i="1"/>
  <c r="F14" i="1"/>
  <c r="K14" i="1" s="1"/>
  <c r="E15" i="1"/>
  <c r="F15" i="1"/>
  <c r="K15" i="1" s="1"/>
  <c r="E16" i="1"/>
  <c r="F16" i="1"/>
  <c r="K16" i="1" s="1"/>
  <c r="J16" i="1"/>
  <c r="E17" i="1"/>
  <c r="F17" i="1"/>
  <c r="K17" i="1" s="1"/>
  <c r="E18" i="1"/>
  <c r="F18" i="1"/>
  <c r="K18" i="1" s="1"/>
  <c r="O18" i="1"/>
  <c r="F19" i="1"/>
  <c r="K19" i="1" s="1"/>
  <c r="O19" i="1"/>
  <c r="F20" i="1"/>
  <c r="K20" i="1" s="1"/>
  <c r="O20" i="1"/>
  <c r="E21" i="1"/>
  <c r="F21" i="1"/>
  <c r="K21" i="1" s="1"/>
  <c r="J21" i="1"/>
  <c r="O21" i="1"/>
  <c r="E22" i="1"/>
  <c r="F22" i="1"/>
  <c r="K22" i="1" s="1"/>
  <c r="J22" i="1"/>
  <c r="O22" i="1"/>
  <c r="E23" i="1"/>
  <c r="F23" i="1"/>
  <c r="K23" i="1" s="1"/>
  <c r="J23" i="1"/>
  <c r="O23" i="1"/>
  <c r="E24" i="1"/>
  <c r="F24" i="1"/>
  <c r="K24" i="1" s="1"/>
  <c r="J24" i="1"/>
  <c r="O24" i="1"/>
  <c r="T24" i="9"/>
  <c r="O24" i="9"/>
  <c r="J24" i="9"/>
  <c r="E24" i="9"/>
  <c r="O24" i="4"/>
  <c r="J24" i="4"/>
  <c r="E24" i="4"/>
  <c r="O23" i="5"/>
  <c r="J23" i="5"/>
  <c r="E23" i="5"/>
  <c r="E17" i="7"/>
  <c r="J22" i="5"/>
  <c r="E22" i="5"/>
  <c r="O23" i="4"/>
  <c r="J23" i="4"/>
  <c r="E23" i="4"/>
  <c r="O16" i="7"/>
  <c r="J16" i="7"/>
  <c r="J8" i="7"/>
  <c r="E15" i="7"/>
  <c r="E16" i="7"/>
  <c r="O23" i="6"/>
  <c r="J23" i="6"/>
  <c r="O24" i="2"/>
  <c r="J24" i="2"/>
  <c r="E24" i="2"/>
  <c r="O22" i="4"/>
  <c r="J22" i="4"/>
  <c r="E22" i="4"/>
  <c r="T23" i="9"/>
  <c r="O23" i="9"/>
  <c r="J23" i="9"/>
  <c r="E23" i="9"/>
  <c r="O19" i="8"/>
  <c r="J19" i="8"/>
  <c r="O22" i="6"/>
  <c r="J22" i="6"/>
  <c r="E21" i="6"/>
  <c r="E22" i="6"/>
  <c r="E23" i="2"/>
  <c r="O15" i="7"/>
  <c r="J23" i="2"/>
  <c r="O23" i="2"/>
  <c r="O21" i="5"/>
  <c r="J21" i="5"/>
  <c r="E21" i="5"/>
  <c r="O21" i="4"/>
  <c r="J21" i="4"/>
  <c r="E21" i="4"/>
  <c r="E20" i="4"/>
  <c r="T22" i="9"/>
  <c r="O22" i="9"/>
  <c r="J22" i="9"/>
  <c r="E22" i="9"/>
  <c r="O20" i="4"/>
  <c r="J20" i="4"/>
  <c r="O20" i="5"/>
  <c r="J20" i="5"/>
  <c r="O21" i="6"/>
  <c r="J21" i="6"/>
  <c r="E20" i="5"/>
  <c r="O6" i="10"/>
  <c r="J6" i="10"/>
  <c r="J5" i="10"/>
  <c r="J4" i="10"/>
  <c r="J3" i="10"/>
  <c r="U6" i="10"/>
  <c r="P6" i="10"/>
  <c r="K6" i="10"/>
  <c r="E6" i="10"/>
  <c r="O20" i="6"/>
  <c r="J20" i="6"/>
  <c r="E20" i="6"/>
  <c r="J14" i="7"/>
  <c r="E14" i="7"/>
  <c r="O18" i="8"/>
  <c r="J18" i="8"/>
  <c r="E18" i="8"/>
  <c r="T21" i="9"/>
  <c r="O21" i="9"/>
  <c r="J21" i="9"/>
  <c r="E21" i="9"/>
  <c r="O22" i="2"/>
  <c r="J22" i="2"/>
  <c r="E22" i="2"/>
  <c r="E21" i="2"/>
  <c r="E20" i="2"/>
  <c r="O19" i="4"/>
  <c r="J19" i="4"/>
  <c r="E19" i="4"/>
  <c r="O19" i="5"/>
  <c r="J19" i="5"/>
  <c r="E19" i="5"/>
  <c r="O19" i="6"/>
  <c r="J19" i="6"/>
  <c r="E19" i="6"/>
  <c r="O17" i="8"/>
  <c r="J17" i="8"/>
  <c r="T20" i="9"/>
  <c r="J20" i="9"/>
  <c r="E20" i="9"/>
  <c r="O18" i="4"/>
  <c r="J18" i="4"/>
  <c r="E18" i="4"/>
  <c r="O18" i="5"/>
  <c r="J18" i="5"/>
  <c r="E18" i="5"/>
  <c r="O13" i="7"/>
  <c r="J13" i="7"/>
  <c r="E13" i="7"/>
  <c r="O16" i="8"/>
  <c r="J16" i="8"/>
  <c r="E16" i="8"/>
  <c r="T19" i="9"/>
  <c r="O19" i="9"/>
  <c r="E19" i="9"/>
  <c r="O20" i="2"/>
  <c r="J20" i="2"/>
  <c r="O17" i="5"/>
  <c r="J17" i="5"/>
  <c r="E17" i="5"/>
  <c r="O18" i="6"/>
  <c r="J18" i="6"/>
  <c r="P3" i="10"/>
  <c r="K3" i="10"/>
  <c r="F3" i="10"/>
  <c r="O17" i="4"/>
  <c r="J17" i="4"/>
  <c r="E17" i="4"/>
  <c r="O16" i="5"/>
  <c r="J16" i="5"/>
  <c r="E16" i="5"/>
  <c r="T18" i="9"/>
  <c r="O19" i="2"/>
  <c r="J19" i="2"/>
  <c r="E19" i="2"/>
  <c r="O17" i="6"/>
  <c r="J17" i="6"/>
  <c r="Y5" i="10"/>
  <c r="E5" i="10"/>
  <c r="Y4" i="10"/>
  <c r="F84" i="10"/>
  <c r="K84" i="10" s="1"/>
  <c r="P84" i="10" s="1"/>
  <c r="U84" i="10" s="1"/>
  <c r="F83" i="10"/>
  <c r="K83" i="10" s="1"/>
  <c r="P83" i="10" s="1"/>
  <c r="U83" i="10" s="1"/>
  <c r="F82" i="10"/>
  <c r="K82" i="10" s="1"/>
  <c r="P82" i="10" s="1"/>
  <c r="U82" i="10" s="1"/>
  <c r="F81" i="10"/>
  <c r="K81" i="10" s="1"/>
  <c r="P81" i="10" s="1"/>
  <c r="U81" i="10" s="1"/>
  <c r="F80" i="10"/>
  <c r="K80" i="10" s="1"/>
  <c r="P80" i="10" s="1"/>
  <c r="U80" i="10" s="1"/>
  <c r="F79" i="10"/>
  <c r="K79" i="10" s="1"/>
  <c r="P79" i="10" s="1"/>
  <c r="U79" i="10" s="1"/>
  <c r="F78" i="10"/>
  <c r="K78" i="10" s="1"/>
  <c r="P78" i="10" s="1"/>
  <c r="U78" i="10" s="1"/>
  <c r="F77" i="10"/>
  <c r="K77" i="10" s="1"/>
  <c r="P77" i="10" s="1"/>
  <c r="U77" i="10" s="1"/>
  <c r="F76" i="10"/>
  <c r="K76" i="10" s="1"/>
  <c r="P76" i="10" s="1"/>
  <c r="U76" i="10" s="1"/>
  <c r="F75" i="10"/>
  <c r="K75" i="10" s="1"/>
  <c r="P75" i="10" s="1"/>
  <c r="U75" i="10" s="1"/>
  <c r="F74" i="10"/>
  <c r="K74" i="10" s="1"/>
  <c r="P74" i="10" s="1"/>
  <c r="U74" i="10" s="1"/>
  <c r="F73" i="10"/>
  <c r="K73" i="10" s="1"/>
  <c r="P73" i="10" s="1"/>
  <c r="U73" i="10" s="1"/>
  <c r="F72" i="10"/>
  <c r="K72" i="10" s="1"/>
  <c r="P72" i="10" s="1"/>
  <c r="U72" i="10" s="1"/>
  <c r="F71" i="10"/>
  <c r="K71" i="10" s="1"/>
  <c r="P71" i="10" s="1"/>
  <c r="U71" i="10" s="1"/>
  <c r="F70" i="10"/>
  <c r="K70" i="10" s="1"/>
  <c r="P70" i="10" s="1"/>
  <c r="U70" i="10" s="1"/>
  <c r="F69" i="10"/>
  <c r="K69" i="10" s="1"/>
  <c r="P69" i="10" s="1"/>
  <c r="U69" i="10" s="1"/>
  <c r="F68" i="10"/>
  <c r="K68" i="10" s="1"/>
  <c r="P68" i="10" s="1"/>
  <c r="U68" i="10" s="1"/>
  <c r="F67" i="10"/>
  <c r="K67" i="10" s="1"/>
  <c r="P67" i="10" s="1"/>
  <c r="U67" i="10" s="1"/>
  <c r="F66" i="10"/>
  <c r="K66" i="10" s="1"/>
  <c r="P66" i="10" s="1"/>
  <c r="U66" i="10" s="1"/>
  <c r="F65" i="10"/>
  <c r="K65" i="10" s="1"/>
  <c r="P65" i="10" s="1"/>
  <c r="U65" i="10" s="1"/>
  <c r="F64" i="10"/>
  <c r="K64" i="10" s="1"/>
  <c r="P64" i="10" s="1"/>
  <c r="U64" i="10" s="1"/>
  <c r="F63" i="10"/>
  <c r="K63" i="10" s="1"/>
  <c r="P63" i="10" s="1"/>
  <c r="U63" i="10" s="1"/>
  <c r="F62" i="10"/>
  <c r="K62" i="10" s="1"/>
  <c r="P62" i="10" s="1"/>
  <c r="U62" i="10" s="1"/>
  <c r="F61" i="10"/>
  <c r="K61" i="10" s="1"/>
  <c r="P61" i="10" s="1"/>
  <c r="U61" i="10" s="1"/>
  <c r="F60" i="10"/>
  <c r="K60" i="10" s="1"/>
  <c r="P60" i="10" s="1"/>
  <c r="U60" i="10" s="1"/>
  <c r="F59" i="10"/>
  <c r="K59" i="10" s="1"/>
  <c r="P59" i="10" s="1"/>
  <c r="U59" i="10" s="1"/>
  <c r="F58" i="10"/>
  <c r="K58" i="10" s="1"/>
  <c r="P58" i="10" s="1"/>
  <c r="U58" i="10" s="1"/>
  <c r="F57" i="10"/>
  <c r="K57" i="10" s="1"/>
  <c r="P57" i="10" s="1"/>
  <c r="U57" i="10" s="1"/>
  <c r="F56" i="10"/>
  <c r="K56" i="10" s="1"/>
  <c r="P56" i="10" s="1"/>
  <c r="U56" i="10" s="1"/>
  <c r="F55" i="10"/>
  <c r="K55" i="10" s="1"/>
  <c r="P55" i="10" s="1"/>
  <c r="U55" i="10" s="1"/>
  <c r="F54" i="10"/>
  <c r="K54" i="10" s="1"/>
  <c r="P54" i="10" s="1"/>
  <c r="U54" i="10" s="1"/>
  <c r="F53" i="10"/>
  <c r="K53" i="10" s="1"/>
  <c r="P53" i="10" s="1"/>
  <c r="U53" i="10" s="1"/>
  <c r="F52" i="10"/>
  <c r="K52" i="10" s="1"/>
  <c r="P52" i="10" s="1"/>
  <c r="U52" i="10" s="1"/>
  <c r="F51" i="10"/>
  <c r="K51" i="10" s="1"/>
  <c r="P51" i="10" s="1"/>
  <c r="U51" i="10" s="1"/>
  <c r="F50" i="10"/>
  <c r="K50" i="10" s="1"/>
  <c r="P50" i="10" s="1"/>
  <c r="U50" i="10" s="1"/>
  <c r="F49" i="10"/>
  <c r="K49" i="10" s="1"/>
  <c r="P49" i="10" s="1"/>
  <c r="U49" i="10" s="1"/>
  <c r="F48" i="10"/>
  <c r="K48" i="10" s="1"/>
  <c r="P48" i="10" s="1"/>
  <c r="U48" i="10" s="1"/>
  <c r="F47" i="10"/>
  <c r="K47" i="10" s="1"/>
  <c r="P47" i="10" s="1"/>
  <c r="U47" i="10" s="1"/>
  <c r="F46" i="10"/>
  <c r="K46" i="10" s="1"/>
  <c r="P46" i="10" s="1"/>
  <c r="U46" i="10" s="1"/>
  <c r="F45" i="10"/>
  <c r="K45" i="10" s="1"/>
  <c r="P45" i="10" s="1"/>
  <c r="U45" i="10" s="1"/>
  <c r="F44" i="10"/>
  <c r="K44" i="10" s="1"/>
  <c r="P44" i="10" s="1"/>
  <c r="U44" i="10" s="1"/>
  <c r="F43" i="10"/>
  <c r="K43" i="10" s="1"/>
  <c r="P43" i="10" s="1"/>
  <c r="U43" i="10" s="1"/>
  <c r="F42" i="10"/>
  <c r="K42" i="10" s="1"/>
  <c r="P42" i="10" s="1"/>
  <c r="U42" i="10" s="1"/>
  <c r="F41" i="10"/>
  <c r="K41" i="10" s="1"/>
  <c r="P41" i="10" s="1"/>
  <c r="U41" i="10" s="1"/>
  <c r="F40" i="10"/>
  <c r="K40" i="10" s="1"/>
  <c r="P40" i="10" s="1"/>
  <c r="U40" i="10" s="1"/>
  <c r="F39" i="10"/>
  <c r="K39" i="10" s="1"/>
  <c r="P39" i="10" s="1"/>
  <c r="U39" i="10" s="1"/>
  <c r="F38" i="10"/>
  <c r="K38" i="10" s="1"/>
  <c r="P38" i="10" s="1"/>
  <c r="U38" i="10" s="1"/>
  <c r="F37" i="10"/>
  <c r="K37" i="10" s="1"/>
  <c r="P37" i="10" s="1"/>
  <c r="U37" i="10" s="1"/>
  <c r="F36" i="10"/>
  <c r="K36" i="10" s="1"/>
  <c r="P36" i="10" s="1"/>
  <c r="U36" i="10" s="1"/>
  <c r="F35" i="10"/>
  <c r="K35" i="10" s="1"/>
  <c r="P35" i="10" s="1"/>
  <c r="U35" i="10" s="1"/>
  <c r="F34" i="10"/>
  <c r="K34" i="10" s="1"/>
  <c r="P34" i="10" s="1"/>
  <c r="U34" i="10" s="1"/>
  <c r="F33" i="10"/>
  <c r="K33" i="10" s="1"/>
  <c r="P33" i="10" s="1"/>
  <c r="U33" i="10" s="1"/>
  <c r="F32" i="10"/>
  <c r="K32" i="10" s="1"/>
  <c r="P32" i="10" s="1"/>
  <c r="U32" i="10" s="1"/>
  <c r="F31" i="10"/>
  <c r="K31" i="10" s="1"/>
  <c r="P31" i="10" s="1"/>
  <c r="U31" i="10" s="1"/>
  <c r="F30" i="10"/>
  <c r="K30" i="10" s="1"/>
  <c r="P30" i="10" s="1"/>
  <c r="U30" i="10" s="1"/>
  <c r="F29" i="10"/>
  <c r="K29" i="10" s="1"/>
  <c r="P29" i="10" s="1"/>
  <c r="U29" i="10" s="1"/>
  <c r="F28" i="10"/>
  <c r="K28" i="10" s="1"/>
  <c r="P28" i="10" s="1"/>
  <c r="U28" i="10" s="1"/>
  <c r="F27" i="10"/>
  <c r="K27" i="10" s="1"/>
  <c r="P27" i="10" s="1"/>
  <c r="U27" i="10" s="1"/>
  <c r="F26" i="10"/>
  <c r="K26" i="10" s="1"/>
  <c r="P26" i="10" s="1"/>
  <c r="U26" i="10" s="1"/>
  <c r="F25" i="10"/>
  <c r="K25" i="10" s="1"/>
  <c r="P25" i="10" s="1"/>
  <c r="U25" i="10" s="1"/>
  <c r="F24" i="10"/>
  <c r="K24" i="10" s="1"/>
  <c r="P24" i="10" s="1"/>
  <c r="U24" i="10" s="1"/>
  <c r="F23" i="10"/>
  <c r="K23" i="10" s="1"/>
  <c r="P23" i="10" s="1"/>
  <c r="U23" i="10" s="1"/>
  <c r="F22" i="10"/>
  <c r="K22" i="10" s="1"/>
  <c r="P22" i="10" s="1"/>
  <c r="U22" i="10" s="1"/>
  <c r="F21" i="10"/>
  <c r="K21" i="10" s="1"/>
  <c r="P21" i="10" s="1"/>
  <c r="U21" i="10" s="1"/>
  <c r="F20" i="10"/>
  <c r="K20" i="10" s="1"/>
  <c r="P20" i="10" s="1"/>
  <c r="U20" i="10" s="1"/>
  <c r="F19" i="10"/>
  <c r="K19" i="10" s="1"/>
  <c r="P19" i="10" s="1"/>
  <c r="U19" i="10" s="1"/>
  <c r="T17" i="9"/>
  <c r="E17" i="9"/>
  <c r="O15" i="5"/>
  <c r="J15" i="5"/>
  <c r="E15" i="5"/>
  <c r="J10" i="6"/>
  <c r="E10" i="6"/>
  <c r="F10" i="6"/>
  <c r="K10" i="6" s="1"/>
  <c r="E9" i="7"/>
  <c r="F9" i="7"/>
  <c r="K9" i="7" s="1"/>
  <c r="E12" i="7"/>
  <c r="O15" i="6"/>
  <c r="J15" i="6"/>
  <c r="E15" i="6"/>
  <c r="F15" i="6"/>
  <c r="K15" i="6" s="1"/>
  <c r="O13" i="5"/>
  <c r="J13" i="5"/>
  <c r="E13" i="5"/>
  <c r="F13" i="5"/>
  <c r="K13" i="5" s="1"/>
  <c r="O10" i="9"/>
  <c r="T10" i="9"/>
  <c r="J10" i="9"/>
  <c r="E10" i="9"/>
  <c r="F10" i="9"/>
  <c r="K10" i="9" s="1"/>
  <c r="P10" i="9" s="1"/>
  <c r="O7" i="5"/>
  <c r="I7" i="5"/>
  <c r="J7" i="5" s="1"/>
  <c r="E7" i="5"/>
  <c r="F7" i="5"/>
  <c r="K7" i="5" s="1"/>
  <c r="O14" i="2"/>
  <c r="F14" i="2"/>
  <c r="K14" i="2" s="1"/>
  <c r="O11" i="5"/>
  <c r="J11" i="5"/>
  <c r="E11" i="5"/>
  <c r="F11" i="5"/>
  <c r="K11" i="5" s="1"/>
  <c r="J14" i="4"/>
  <c r="E14" i="4"/>
  <c r="F14" i="4"/>
  <c r="K14" i="4" s="1"/>
  <c r="T14" i="9"/>
  <c r="J14" i="9"/>
  <c r="E14" i="9"/>
  <c r="F14" i="9"/>
  <c r="K14" i="9" s="1"/>
  <c r="P14" i="9" s="1"/>
  <c r="D16" i="2"/>
  <c r="E16" i="2" s="1"/>
  <c r="H16" i="2"/>
  <c r="J16" i="2" s="1"/>
  <c r="O16" i="2"/>
  <c r="F16" i="2"/>
  <c r="K16" i="2" s="1"/>
  <c r="O13" i="6"/>
  <c r="J13" i="6"/>
  <c r="E13" i="6"/>
  <c r="F13" i="6"/>
  <c r="K13" i="6" s="1"/>
  <c r="E10" i="7"/>
  <c r="F10" i="7"/>
  <c r="K10" i="7" s="1"/>
  <c r="T11" i="9"/>
  <c r="O11" i="9"/>
  <c r="J11" i="9"/>
  <c r="E11" i="9"/>
  <c r="F11" i="9"/>
  <c r="K11" i="9" s="1"/>
  <c r="P11" i="9" s="1"/>
  <c r="J10" i="5"/>
  <c r="E10" i="5"/>
  <c r="O10" i="5"/>
  <c r="F10" i="5"/>
  <c r="K10" i="5" s="1"/>
  <c r="O16" i="6"/>
  <c r="J16" i="6"/>
  <c r="E16" i="6"/>
  <c r="F16" i="6"/>
  <c r="K16" i="6" s="1"/>
  <c r="O15" i="8"/>
  <c r="J15" i="8"/>
  <c r="E15" i="8"/>
  <c r="T16" i="9"/>
  <c r="O16" i="9"/>
  <c r="J16" i="9"/>
  <c r="E16" i="9"/>
  <c r="O18" i="2"/>
  <c r="J18" i="2"/>
  <c r="E18" i="2"/>
  <c r="O16" i="4"/>
  <c r="J16" i="4"/>
  <c r="E16" i="4"/>
  <c r="O14" i="5"/>
  <c r="J14" i="5"/>
  <c r="E14" i="5"/>
  <c r="O13" i="9"/>
  <c r="T13" i="9"/>
  <c r="E13" i="9"/>
  <c r="J13" i="9"/>
  <c r="F13" i="9"/>
  <c r="K13" i="9" s="1"/>
  <c r="P13" i="9" s="1"/>
  <c r="O13" i="4"/>
  <c r="J13" i="4"/>
  <c r="E13" i="4"/>
  <c r="F13" i="4"/>
  <c r="K13" i="4" s="1"/>
  <c r="T12" i="9"/>
  <c r="J12" i="9"/>
  <c r="E12" i="9"/>
  <c r="F12" i="9"/>
  <c r="K12" i="9" s="1"/>
  <c r="P12" i="9" s="1"/>
  <c r="O9" i="5"/>
  <c r="J9" i="5"/>
  <c r="J12" i="5"/>
  <c r="E9" i="5"/>
  <c r="F9" i="5"/>
  <c r="K9" i="5" s="1"/>
  <c r="O12" i="6"/>
  <c r="J12" i="6"/>
  <c r="F12" i="6"/>
  <c r="K12" i="6" s="1"/>
  <c r="E12" i="6"/>
  <c r="E14" i="6"/>
  <c r="F80" i="1"/>
  <c r="K80" i="1" s="1"/>
  <c r="F79" i="1"/>
  <c r="K79" i="1" s="1"/>
  <c r="F78" i="1"/>
  <c r="K78" i="1" s="1"/>
  <c r="F77" i="1"/>
  <c r="K77" i="1" s="1"/>
  <c r="F76" i="1"/>
  <c r="K76" i="1" s="1"/>
  <c r="F75" i="1"/>
  <c r="K75" i="1" s="1"/>
  <c r="F74" i="1"/>
  <c r="K74" i="1" s="1"/>
  <c r="F73" i="1"/>
  <c r="K73" i="1" s="1"/>
  <c r="F72" i="1"/>
  <c r="K72" i="1" s="1"/>
  <c r="F71" i="1"/>
  <c r="K71" i="1" s="1"/>
  <c r="F70" i="1"/>
  <c r="K70" i="1" s="1"/>
  <c r="F69" i="1"/>
  <c r="K69" i="1" s="1"/>
  <c r="F68" i="1"/>
  <c r="K68" i="1" s="1"/>
  <c r="F67" i="1"/>
  <c r="K67" i="1" s="1"/>
  <c r="F66" i="1"/>
  <c r="K66" i="1" s="1"/>
  <c r="F65" i="1"/>
  <c r="K65" i="1" s="1"/>
  <c r="F64" i="1"/>
  <c r="K64" i="1" s="1"/>
  <c r="F63" i="1"/>
  <c r="K63" i="1" s="1"/>
  <c r="F62" i="1"/>
  <c r="K62" i="1" s="1"/>
  <c r="F61" i="1"/>
  <c r="K61" i="1" s="1"/>
  <c r="F60" i="1"/>
  <c r="K60" i="1" s="1"/>
  <c r="F59" i="1"/>
  <c r="K59" i="1" s="1"/>
  <c r="F58" i="1"/>
  <c r="K58" i="1" s="1"/>
  <c r="F57" i="1"/>
  <c r="K57" i="1" s="1"/>
  <c r="F56" i="1"/>
  <c r="K56" i="1" s="1"/>
  <c r="F55" i="1"/>
  <c r="K55" i="1" s="1"/>
  <c r="F54" i="1"/>
  <c r="K54" i="1" s="1"/>
  <c r="F53" i="1"/>
  <c r="K53" i="1" s="1"/>
  <c r="F52" i="1"/>
  <c r="K52" i="1" s="1"/>
  <c r="F51" i="1"/>
  <c r="K51" i="1" s="1"/>
  <c r="F50" i="1"/>
  <c r="K50" i="1" s="1"/>
  <c r="F49" i="1"/>
  <c r="K49" i="1" s="1"/>
  <c r="F48" i="1"/>
  <c r="K48" i="1" s="1"/>
  <c r="F47" i="1"/>
  <c r="K47" i="1" s="1"/>
  <c r="F46" i="1"/>
  <c r="K46" i="1" s="1"/>
  <c r="F45" i="1"/>
  <c r="K45" i="1" s="1"/>
  <c r="F44" i="1"/>
  <c r="K44" i="1" s="1"/>
  <c r="F43" i="1"/>
  <c r="K43" i="1" s="1"/>
  <c r="F42" i="1"/>
  <c r="K42" i="1" s="1"/>
  <c r="F41" i="1"/>
  <c r="K41" i="1" s="1"/>
  <c r="F40" i="1"/>
  <c r="K40" i="1" s="1"/>
  <c r="F39" i="1"/>
  <c r="K39" i="1" s="1"/>
  <c r="F38" i="1"/>
  <c r="K38" i="1" s="1"/>
  <c r="F37" i="1"/>
  <c r="K37" i="1" s="1"/>
  <c r="F36" i="1"/>
  <c r="K36" i="1" s="1"/>
  <c r="F35" i="1"/>
  <c r="K35" i="1" s="1"/>
  <c r="F34" i="1"/>
  <c r="K34" i="1" s="1"/>
  <c r="F33" i="1"/>
  <c r="K33" i="1" s="1"/>
  <c r="F32" i="1"/>
  <c r="K32" i="1" s="1"/>
  <c r="F31" i="1"/>
  <c r="K31" i="1" s="1"/>
  <c r="F30" i="1"/>
  <c r="K30" i="1" s="1"/>
  <c r="F29" i="1"/>
  <c r="K29" i="1" s="1"/>
  <c r="F28" i="1"/>
  <c r="K28" i="1" s="1"/>
  <c r="F27" i="1"/>
  <c r="K27" i="1" s="1"/>
  <c r="F26" i="1"/>
  <c r="K26" i="1" s="1"/>
  <c r="F25" i="1"/>
  <c r="K25" i="1" s="1"/>
  <c r="O12" i="5"/>
  <c r="O8" i="5"/>
  <c r="O6" i="5"/>
  <c r="O5" i="5"/>
  <c r="O4" i="5"/>
  <c r="N3" i="5"/>
  <c r="O3" i="5" s="1"/>
  <c r="I8" i="5"/>
  <c r="J8" i="5" s="1"/>
  <c r="I6" i="5"/>
  <c r="J6" i="5" s="1"/>
  <c r="I5" i="5"/>
  <c r="J5" i="5" s="1"/>
  <c r="I4" i="5"/>
  <c r="J4" i="5" s="1"/>
  <c r="I3" i="5"/>
  <c r="J3" i="5" s="1"/>
  <c r="D4" i="5"/>
  <c r="E4" i="5" s="1"/>
  <c r="E5" i="5"/>
  <c r="E6" i="5"/>
  <c r="E8" i="5"/>
  <c r="E12" i="5"/>
  <c r="D3" i="5"/>
  <c r="E3" i="5" s="1"/>
  <c r="F81" i="5"/>
  <c r="K81" i="5" s="1"/>
  <c r="F80" i="5"/>
  <c r="K80" i="5" s="1"/>
  <c r="F79" i="5"/>
  <c r="K79" i="5" s="1"/>
  <c r="F78" i="5"/>
  <c r="K78" i="5" s="1"/>
  <c r="F77" i="5"/>
  <c r="K77" i="5" s="1"/>
  <c r="F76" i="5"/>
  <c r="K76" i="5" s="1"/>
  <c r="F75" i="5"/>
  <c r="K75" i="5" s="1"/>
  <c r="F74" i="5"/>
  <c r="K74" i="5" s="1"/>
  <c r="F73" i="5"/>
  <c r="K73" i="5" s="1"/>
  <c r="F72" i="5"/>
  <c r="K72" i="5" s="1"/>
  <c r="F71" i="5"/>
  <c r="K71" i="5" s="1"/>
  <c r="F70" i="5"/>
  <c r="K70" i="5" s="1"/>
  <c r="F69" i="5"/>
  <c r="K69" i="5" s="1"/>
  <c r="F68" i="5"/>
  <c r="K68" i="5" s="1"/>
  <c r="F67" i="5"/>
  <c r="K67" i="5" s="1"/>
  <c r="F66" i="5"/>
  <c r="K66" i="5" s="1"/>
  <c r="F65" i="5"/>
  <c r="K65" i="5" s="1"/>
  <c r="F64" i="5"/>
  <c r="K64" i="5" s="1"/>
  <c r="F63" i="5"/>
  <c r="K63" i="5" s="1"/>
  <c r="F62" i="5"/>
  <c r="K62" i="5" s="1"/>
  <c r="F61" i="5"/>
  <c r="K61" i="5" s="1"/>
  <c r="F60" i="5"/>
  <c r="K60" i="5" s="1"/>
  <c r="F59" i="5"/>
  <c r="K59" i="5" s="1"/>
  <c r="F58" i="5"/>
  <c r="K58" i="5" s="1"/>
  <c r="F57" i="5"/>
  <c r="K57" i="5" s="1"/>
  <c r="F56" i="5"/>
  <c r="K56" i="5" s="1"/>
  <c r="F55" i="5"/>
  <c r="K55" i="5" s="1"/>
  <c r="F54" i="5"/>
  <c r="K54" i="5" s="1"/>
  <c r="F53" i="5"/>
  <c r="K53" i="5" s="1"/>
  <c r="F52" i="5"/>
  <c r="K52" i="5" s="1"/>
  <c r="F51" i="5"/>
  <c r="K51" i="5" s="1"/>
  <c r="F50" i="5"/>
  <c r="K50" i="5" s="1"/>
  <c r="F49" i="5"/>
  <c r="K49" i="5" s="1"/>
  <c r="F48" i="5"/>
  <c r="K48" i="5" s="1"/>
  <c r="F47" i="5"/>
  <c r="K47" i="5" s="1"/>
  <c r="F46" i="5"/>
  <c r="K46" i="5" s="1"/>
  <c r="F45" i="5"/>
  <c r="K45" i="5" s="1"/>
  <c r="F44" i="5"/>
  <c r="K44" i="5" s="1"/>
  <c r="F43" i="5"/>
  <c r="K43" i="5" s="1"/>
  <c r="F42" i="5"/>
  <c r="K42" i="5" s="1"/>
  <c r="F41" i="5"/>
  <c r="K41" i="5" s="1"/>
  <c r="F40" i="5"/>
  <c r="K40" i="5" s="1"/>
  <c r="F39" i="5"/>
  <c r="K39" i="5" s="1"/>
  <c r="F38" i="5"/>
  <c r="K38" i="5" s="1"/>
  <c r="F37" i="5"/>
  <c r="K37" i="5" s="1"/>
  <c r="F36" i="5"/>
  <c r="K36" i="5" s="1"/>
  <c r="F35" i="5"/>
  <c r="K35" i="5" s="1"/>
  <c r="F34" i="5"/>
  <c r="K34" i="5" s="1"/>
  <c r="F33" i="5"/>
  <c r="K33" i="5" s="1"/>
  <c r="F32" i="5"/>
  <c r="K32" i="5" s="1"/>
  <c r="F31" i="5"/>
  <c r="K31" i="5" s="1"/>
  <c r="F30" i="5"/>
  <c r="K30" i="5" s="1"/>
  <c r="F29" i="5"/>
  <c r="K29" i="5" s="1"/>
  <c r="F28" i="5"/>
  <c r="K28" i="5" s="1"/>
  <c r="F27" i="5"/>
  <c r="K27" i="5" s="1"/>
  <c r="F26" i="5"/>
  <c r="K26" i="5" s="1"/>
  <c r="F25" i="5"/>
  <c r="K25" i="5" s="1"/>
  <c r="F24" i="5"/>
  <c r="K24" i="5" s="1"/>
  <c r="F23" i="5"/>
  <c r="K23" i="5" s="1"/>
  <c r="F22" i="5"/>
  <c r="K22" i="5" s="1"/>
  <c r="F21" i="5"/>
  <c r="K21" i="5" s="1"/>
  <c r="F20" i="5"/>
  <c r="K20" i="5" s="1"/>
  <c r="F19" i="5"/>
  <c r="K19" i="5" s="1"/>
  <c r="F18" i="5"/>
  <c r="K18" i="5" s="1"/>
  <c r="F17" i="5"/>
  <c r="K17" i="5" s="1"/>
  <c r="F16" i="5"/>
  <c r="K16" i="5" s="1"/>
  <c r="F15" i="5"/>
  <c r="K15" i="5" s="1"/>
  <c r="F14" i="5"/>
  <c r="K14" i="5" s="1"/>
  <c r="F12" i="5"/>
  <c r="K12" i="5" s="1"/>
  <c r="F8" i="5"/>
  <c r="K8" i="5" s="1"/>
  <c r="F6" i="5"/>
  <c r="K6" i="5" s="1"/>
  <c r="F5" i="5"/>
  <c r="K5" i="5" s="1"/>
  <c r="F4" i="5"/>
  <c r="K4" i="5" s="1"/>
  <c r="F3" i="5"/>
  <c r="K3" i="5" s="1"/>
  <c r="O15" i="4"/>
  <c r="O12" i="4"/>
  <c r="O11" i="4"/>
  <c r="O10" i="4"/>
  <c r="O9" i="4"/>
  <c r="O8" i="4"/>
  <c r="O7" i="4"/>
  <c r="O6" i="4"/>
  <c r="O5" i="4"/>
  <c r="O4" i="4"/>
  <c r="O3" i="4"/>
  <c r="J15" i="4"/>
  <c r="J12" i="4"/>
  <c r="J11" i="4"/>
  <c r="J10" i="4"/>
  <c r="J9" i="4"/>
  <c r="J8" i="4"/>
  <c r="J7" i="4"/>
  <c r="J6" i="4"/>
  <c r="J5" i="4"/>
  <c r="J4" i="4"/>
  <c r="J3" i="4"/>
  <c r="E4" i="4"/>
  <c r="E5" i="4"/>
  <c r="E6" i="4"/>
  <c r="E7" i="4"/>
  <c r="E8" i="4"/>
  <c r="E9" i="4"/>
  <c r="E10" i="4"/>
  <c r="E11" i="4"/>
  <c r="E12" i="4"/>
  <c r="E15" i="4"/>
  <c r="E3" i="4"/>
  <c r="F78" i="4"/>
  <c r="K78" i="4" s="1"/>
  <c r="F77" i="4"/>
  <c r="K77" i="4" s="1"/>
  <c r="F76" i="4"/>
  <c r="K76" i="4"/>
  <c r="F75" i="4"/>
  <c r="K75" i="4" s="1"/>
  <c r="F74" i="4"/>
  <c r="K74" i="4" s="1"/>
  <c r="F73" i="4"/>
  <c r="K73" i="4" s="1"/>
  <c r="F72" i="4"/>
  <c r="K72" i="4" s="1"/>
  <c r="F71" i="4"/>
  <c r="K71" i="4" s="1"/>
  <c r="F70" i="4"/>
  <c r="K70" i="4" s="1"/>
  <c r="F69" i="4"/>
  <c r="K69" i="4" s="1"/>
  <c r="F68" i="4"/>
  <c r="K68" i="4" s="1"/>
  <c r="F67" i="4"/>
  <c r="K67" i="4" s="1"/>
  <c r="F66" i="4"/>
  <c r="K66" i="4" s="1"/>
  <c r="F65" i="4"/>
  <c r="K65" i="4" s="1"/>
  <c r="F64" i="4"/>
  <c r="K64" i="4" s="1"/>
  <c r="F63" i="4"/>
  <c r="K63" i="4" s="1"/>
  <c r="F62" i="4"/>
  <c r="K62" i="4" s="1"/>
  <c r="F61" i="4"/>
  <c r="K61" i="4" s="1"/>
  <c r="F60" i="4"/>
  <c r="K60" i="4" s="1"/>
  <c r="F59" i="4"/>
  <c r="K59" i="4" s="1"/>
  <c r="F58" i="4"/>
  <c r="K58" i="4" s="1"/>
  <c r="F57" i="4"/>
  <c r="K57" i="4" s="1"/>
  <c r="F56" i="4"/>
  <c r="K56" i="4" s="1"/>
  <c r="F55" i="4"/>
  <c r="K55" i="4" s="1"/>
  <c r="F54" i="4"/>
  <c r="K54" i="4" s="1"/>
  <c r="F53" i="4"/>
  <c r="K53" i="4" s="1"/>
  <c r="F52" i="4"/>
  <c r="K52" i="4" s="1"/>
  <c r="F51" i="4"/>
  <c r="K51" i="4" s="1"/>
  <c r="F50" i="4"/>
  <c r="K50" i="4" s="1"/>
  <c r="F49" i="4"/>
  <c r="K49" i="4" s="1"/>
  <c r="F48" i="4"/>
  <c r="K48" i="4" s="1"/>
  <c r="F47" i="4"/>
  <c r="K47" i="4" s="1"/>
  <c r="F46" i="4"/>
  <c r="K46" i="4" s="1"/>
  <c r="F45" i="4"/>
  <c r="K45" i="4" s="1"/>
  <c r="F44" i="4"/>
  <c r="K44" i="4" s="1"/>
  <c r="F43" i="4"/>
  <c r="K43" i="4" s="1"/>
  <c r="F42" i="4"/>
  <c r="K42" i="4" s="1"/>
  <c r="F41" i="4"/>
  <c r="K41" i="4" s="1"/>
  <c r="F40" i="4"/>
  <c r="K40" i="4" s="1"/>
  <c r="F39" i="4"/>
  <c r="K39" i="4" s="1"/>
  <c r="F38" i="4"/>
  <c r="K38" i="4" s="1"/>
  <c r="F37" i="4"/>
  <c r="K37" i="4" s="1"/>
  <c r="F36" i="4"/>
  <c r="K36" i="4" s="1"/>
  <c r="F35" i="4"/>
  <c r="K35" i="4" s="1"/>
  <c r="F34" i="4"/>
  <c r="K34" i="4" s="1"/>
  <c r="F33" i="4"/>
  <c r="K33" i="4" s="1"/>
  <c r="F32" i="4"/>
  <c r="K32" i="4" s="1"/>
  <c r="F31" i="4"/>
  <c r="K31" i="4" s="1"/>
  <c r="F30" i="4"/>
  <c r="K30" i="4" s="1"/>
  <c r="F29" i="4"/>
  <c r="K29" i="4" s="1"/>
  <c r="F28" i="4"/>
  <c r="K28" i="4" s="1"/>
  <c r="F27" i="4"/>
  <c r="K27" i="4" s="1"/>
  <c r="F26" i="4"/>
  <c r="K26" i="4" s="1"/>
  <c r="F25" i="4"/>
  <c r="K25" i="4" s="1"/>
  <c r="F24" i="4"/>
  <c r="K24" i="4" s="1"/>
  <c r="F23" i="4"/>
  <c r="K23" i="4" s="1"/>
  <c r="F22" i="4"/>
  <c r="K22" i="4" s="1"/>
  <c r="F21" i="4"/>
  <c r="K21" i="4" s="1"/>
  <c r="F20" i="4"/>
  <c r="K20" i="4" s="1"/>
  <c r="F19" i="4"/>
  <c r="K19" i="4" s="1"/>
  <c r="F18" i="4"/>
  <c r="K18" i="4" s="1"/>
  <c r="F17" i="4"/>
  <c r="K17" i="4" s="1"/>
  <c r="F16" i="4"/>
  <c r="K16" i="4" s="1"/>
  <c r="F15" i="4"/>
  <c r="K15" i="4" s="1"/>
  <c r="F12" i="4"/>
  <c r="K12" i="4" s="1"/>
  <c r="F11" i="4"/>
  <c r="K11" i="4" s="1"/>
  <c r="F10" i="4"/>
  <c r="K10" i="4" s="1"/>
  <c r="F9" i="4"/>
  <c r="K9" i="4" s="1"/>
  <c r="F8" i="4"/>
  <c r="K8" i="4" s="1"/>
  <c r="F7" i="4"/>
  <c r="K7" i="4" s="1"/>
  <c r="F6" i="4"/>
  <c r="K6" i="4"/>
  <c r="F5" i="4"/>
  <c r="K5" i="4" s="1"/>
  <c r="F4" i="4"/>
  <c r="K4" i="4" s="1"/>
  <c r="F3" i="4"/>
  <c r="K3" i="4" s="1"/>
  <c r="O17" i="2"/>
  <c r="O15" i="2"/>
  <c r="O13" i="2"/>
  <c r="O12" i="2"/>
  <c r="O11" i="2"/>
  <c r="O10" i="2"/>
  <c r="N9" i="2"/>
  <c r="O9" i="2" s="1"/>
  <c r="N8" i="2"/>
  <c r="O8" i="2" s="1"/>
  <c r="N7" i="2"/>
  <c r="O7" i="2"/>
  <c r="N6" i="2"/>
  <c r="O6" i="2" s="1"/>
  <c r="N5" i="2"/>
  <c r="O5" i="2" s="1"/>
  <c r="N4" i="2"/>
  <c r="O4" i="2"/>
  <c r="N3" i="2"/>
  <c r="O3" i="2" s="1"/>
  <c r="J17" i="2"/>
  <c r="J15" i="2"/>
  <c r="J13" i="2"/>
  <c r="J12" i="2"/>
  <c r="J11" i="2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/>
  <c r="D11" i="2"/>
  <c r="E11" i="2" s="1"/>
  <c r="D12" i="2"/>
  <c r="E12" i="2" s="1"/>
  <c r="D13" i="2"/>
  <c r="E13" i="2" s="1"/>
  <c r="D15" i="2"/>
  <c r="E15" i="2" s="1"/>
  <c r="D17" i="2"/>
  <c r="E17" i="2" s="1"/>
  <c r="D3" i="2"/>
  <c r="E3" i="2" s="1"/>
  <c r="F78" i="2"/>
  <c r="K78" i="2" s="1"/>
  <c r="F77" i="2"/>
  <c r="K77" i="2" s="1"/>
  <c r="F76" i="2"/>
  <c r="K76" i="2" s="1"/>
  <c r="F75" i="2"/>
  <c r="K75" i="2" s="1"/>
  <c r="F74" i="2"/>
  <c r="K74" i="2" s="1"/>
  <c r="F73" i="2"/>
  <c r="K73" i="2" s="1"/>
  <c r="F72" i="2"/>
  <c r="K72" i="2" s="1"/>
  <c r="F71" i="2"/>
  <c r="K71" i="2" s="1"/>
  <c r="F70" i="2"/>
  <c r="K70" i="2" s="1"/>
  <c r="F69" i="2"/>
  <c r="K69" i="2" s="1"/>
  <c r="F68" i="2"/>
  <c r="K68" i="2" s="1"/>
  <c r="F67" i="2"/>
  <c r="K67" i="2" s="1"/>
  <c r="F66" i="2"/>
  <c r="K66" i="2" s="1"/>
  <c r="F65" i="2"/>
  <c r="K65" i="2" s="1"/>
  <c r="F64" i="2"/>
  <c r="K64" i="2" s="1"/>
  <c r="F63" i="2"/>
  <c r="K63" i="2" s="1"/>
  <c r="F62" i="2"/>
  <c r="K62" i="2" s="1"/>
  <c r="F61" i="2"/>
  <c r="K61" i="2" s="1"/>
  <c r="F60" i="2"/>
  <c r="K60" i="2" s="1"/>
  <c r="F59" i="2"/>
  <c r="K59" i="2" s="1"/>
  <c r="F58" i="2"/>
  <c r="K58" i="2" s="1"/>
  <c r="F57" i="2"/>
  <c r="K57" i="2" s="1"/>
  <c r="F56" i="2"/>
  <c r="K56" i="2" s="1"/>
  <c r="F55" i="2"/>
  <c r="K55" i="2" s="1"/>
  <c r="F54" i="2"/>
  <c r="K54" i="2" s="1"/>
  <c r="F53" i="2"/>
  <c r="K53" i="2" s="1"/>
  <c r="F52" i="2"/>
  <c r="K52" i="2" s="1"/>
  <c r="F51" i="2"/>
  <c r="K51" i="2" s="1"/>
  <c r="F50" i="2"/>
  <c r="K50" i="2" s="1"/>
  <c r="F49" i="2"/>
  <c r="K49" i="2" s="1"/>
  <c r="F48" i="2"/>
  <c r="K48" i="2" s="1"/>
  <c r="F47" i="2"/>
  <c r="K47" i="2" s="1"/>
  <c r="F46" i="2"/>
  <c r="K46" i="2" s="1"/>
  <c r="F45" i="2"/>
  <c r="K45" i="2" s="1"/>
  <c r="F44" i="2"/>
  <c r="K44" i="2" s="1"/>
  <c r="F43" i="2"/>
  <c r="K43" i="2" s="1"/>
  <c r="F42" i="2"/>
  <c r="K42" i="2" s="1"/>
  <c r="F41" i="2"/>
  <c r="K41" i="2" s="1"/>
  <c r="F40" i="2"/>
  <c r="K40" i="2" s="1"/>
  <c r="F39" i="2"/>
  <c r="K39" i="2" s="1"/>
  <c r="F38" i="2"/>
  <c r="K38" i="2" s="1"/>
  <c r="F37" i="2"/>
  <c r="K37" i="2" s="1"/>
  <c r="F36" i="2"/>
  <c r="K36" i="2" s="1"/>
  <c r="F35" i="2"/>
  <c r="K35" i="2" s="1"/>
  <c r="F34" i="2"/>
  <c r="K34" i="2" s="1"/>
  <c r="F33" i="2"/>
  <c r="K33" i="2" s="1"/>
  <c r="F32" i="2"/>
  <c r="K32" i="2" s="1"/>
  <c r="F31" i="2"/>
  <c r="K31" i="2" s="1"/>
  <c r="F30" i="2"/>
  <c r="K30" i="2" s="1"/>
  <c r="F29" i="2"/>
  <c r="K29" i="2" s="1"/>
  <c r="F28" i="2"/>
  <c r="K28" i="2" s="1"/>
  <c r="F27" i="2"/>
  <c r="K27" i="2" s="1"/>
  <c r="F26" i="2"/>
  <c r="K26" i="2" s="1"/>
  <c r="F25" i="2"/>
  <c r="K25" i="2" s="1"/>
  <c r="F24" i="2"/>
  <c r="K24" i="2" s="1"/>
  <c r="F23" i="2"/>
  <c r="K23" i="2" s="1"/>
  <c r="F22" i="2"/>
  <c r="K22" i="2" s="1"/>
  <c r="F21" i="2"/>
  <c r="K21" i="2" s="1"/>
  <c r="F20" i="2"/>
  <c r="K20" i="2" s="1"/>
  <c r="F19" i="2"/>
  <c r="K19" i="2" s="1"/>
  <c r="F18" i="2"/>
  <c r="K18" i="2" s="1"/>
  <c r="F17" i="2"/>
  <c r="K17" i="2" s="1"/>
  <c r="F15" i="2"/>
  <c r="K15" i="2" s="1"/>
  <c r="F13" i="2"/>
  <c r="K13" i="2" s="1"/>
  <c r="F12" i="2"/>
  <c r="K12" i="2" s="1"/>
  <c r="F11" i="2"/>
  <c r="K11" i="2" s="1"/>
  <c r="F10" i="2"/>
  <c r="K10" i="2" s="1"/>
  <c r="F9" i="2"/>
  <c r="K9" i="2" s="1"/>
  <c r="F8" i="2"/>
  <c r="K8" i="2" s="1"/>
  <c r="F7" i="2"/>
  <c r="K7" i="2" s="1"/>
  <c r="F6" i="2"/>
  <c r="K6" i="2" s="1"/>
  <c r="F5" i="2"/>
  <c r="K5" i="2" s="1"/>
  <c r="F4" i="2"/>
  <c r="K4" i="2" s="1"/>
  <c r="F3" i="2"/>
  <c r="K3" i="2" s="1"/>
  <c r="T15" i="9"/>
  <c r="T9" i="9"/>
  <c r="T7" i="9"/>
  <c r="T6" i="9"/>
  <c r="T5" i="9"/>
  <c r="O15" i="9"/>
  <c r="N9" i="9"/>
  <c r="O9" i="9" s="1"/>
  <c r="N8" i="9"/>
  <c r="O8" i="9" s="1"/>
  <c r="N7" i="9"/>
  <c r="O7" i="9" s="1"/>
  <c r="N6" i="9"/>
  <c r="O6" i="9" s="1"/>
  <c r="N5" i="9"/>
  <c r="O5" i="9" s="1"/>
  <c r="N4" i="9"/>
  <c r="O4" i="9" s="1"/>
  <c r="N3" i="9"/>
  <c r="O3" i="9" s="1"/>
  <c r="J15" i="9"/>
  <c r="J9" i="9"/>
  <c r="J8" i="9"/>
  <c r="J7" i="9"/>
  <c r="J6" i="9"/>
  <c r="J5" i="9"/>
  <c r="J4" i="9"/>
  <c r="J3" i="9"/>
  <c r="D4" i="9"/>
  <c r="E4" i="9"/>
  <c r="E5" i="9"/>
  <c r="E6" i="9"/>
  <c r="E7" i="9"/>
  <c r="E9" i="9"/>
  <c r="E15" i="9"/>
  <c r="D3" i="9"/>
  <c r="E3" i="9" s="1"/>
  <c r="F83" i="9"/>
  <c r="K83" i="9" s="1"/>
  <c r="P83" i="9" s="1"/>
  <c r="F82" i="9"/>
  <c r="K82" i="9" s="1"/>
  <c r="P82" i="9" s="1"/>
  <c r="F81" i="9"/>
  <c r="K81" i="9" s="1"/>
  <c r="P81" i="9" s="1"/>
  <c r="F80" i="9"/>
  <c r="K80" i="9" s="1"/>
  <c r="P80" i="9" s="1"/>
  <c r="F79" i="9"/>
  <c r="K79" i="9" s="1"/>
  <c r="P79" i="9" s="1"/>
  <c r="F78" i="9"/>
  <c r="K78" i="9" s="1"/>
  <c r="P78" i="9" s="1"/>
  <c r="F77" i="9"/>
  <c r="K77" i="9" s="1"/>
  <c r="P77" i="9" s="1"/>
  <c r="F76" i="9"/>
  <c r="K76" i="9" s="1"/>
  <c r="P76" i="9" s="1"/>
  <c r="F75" i="9"/>
  <c r="K75" i="9" s="1"/>
  <c r="P75" i="9" s="1"/>
  <c r="F74" i="9"/>
  <c r="K74" i="9" s="1"/>
  <c r="P74" i="9" s="1"/>
  <c r="F73" i="9"/>
  <c r="K73" i="9"/>
  <c r="P73" i="9" s="1"/>
  <c r="F72" i="9"/>
  <c r="K72" i="9" s="1"/>
  <c r="P72" i="9" s="1"/>
  <c r="F71" i="9"/>
  <c r="K71" i="9" s="1"/>
  <c r="P71" i="9" s="1"/>
  <c r="F70" i="9"/>
  <c r="K70" i="9" s="1"/>
  <c r="P70" i="9" s="1"/>
  <c r="F69" i="9"/>
  <c r="K69" i="9" s="1"/>
  <c r="P69" i="9" s="1"/>
  <c r="F68" i="9"/>
  <c r="K68" i="9" s="1"/>
  <c r="P68" i="9" s="1"/>
  <c r="F67" i="9"/>
  <c r="K67" i="9" s="1"/>
  <c r="P67" i="9" s="1"/>
  <c r="F66" i="9"/>
  <c r="K66" i="9" s="1"/>
  <c r="P66" i="9" s="1"/>
  <c r="F65" i="9"/>
  <c r="K65" i="9" s="1"/>
  <c r="P65" i="9" s="1"/>
  <c r="F64" i="9"/>
  <c r="K64" i="9" s="1"/>
  <c r="P64" i="9" s="1"/>
  <c r="F63" i="9"/>
  <c r="K63" i="9" s="1"/>
  <c r="P63" i="9" s="1"/>
  <c r="F62" i="9"/>
  <c r="K62" i="9" s="1"/>
  <c r="P62" i="9" s="1"/>
  <c r="F61" i="9"/>
  <c r="K61" i="9" s="1"/>
  <c r="P61" i="9" s="1"/>
  <c r="F60" i="9"/>
  <c r="K60" i="9" s="1"/>
  <c r="P60" i="9" s="1"/>
  <c r="F59" i="9"/>
  <c r="K59" i="9" s="1"/>
  <c r="P59" i="9" s="1"/>
  <c r="F58" i="9"/>
  <c r="K58" i="9" s="1"/>
  <c r="P58" i="9" s="1"/>
  <c r="F57" i="9"/>
  <c r="K57" i="9" s="1"/>
  <c r="P57" i="9" s="1"/>
  <c r="F56" i="9"/>
  <c r="K56" i="9" s="1"/>
  <c r="P56" i="9" s="1"/>
  <c r="F55" i="9"/>
  <c r="K55" i="9" s="1"/>
  <c r="P55" i="9" s="1"/>
  <c r="F54" i="9"/>
  <c r="K54" i="9" s="1"/>
  <c r="P54" i="9" s="1"/>
  <c r="F53" i="9"/>
  <c r="K53" i="9" s="1"/>
  <c r="P53" i="9" s="1"/>
  <c r="F52" i="9"/>
  <c r="K52" i="9" s="1"/>
  <c r="P52" i="9" s="1"/>
  <c r="F51" i="9"/>
  <c r="K51" i="9" s="1"/>
  <c r="P51" i="9" s="1"/>
  <c r="F50" i="9"/>
  <c r="K50" i="9" s="1"/>
  <c r="P50" i="9" s="1"/>
  <c r="F49" i="9"/>
  <c r="K49" i="9" s="1"/>
  <c r="P49" i="9" s="1"/>
  <c r="F48" i="9"/>
  <c r="K48" i="9" s="1"/>
  <c r="P48" i="9" s="1"/>
  <c r="F47" i="9"/>
  <c r="K47" i="9" s="1"/>
  <c r="P47" i="9" s="1"/>
  <c r="F46" i="9"/>
  <c r="K46" i="9" s="1"/>
  <c r="P46" i="9" s="1"/>
  <c r="F45" i="9"/>
  <c r="K45" i="9" s="1"/>
  <c r="P45" i="9" s="1"/>
  <c r="F44" i="9"/>
  <c r="K44" i="9" s="1"/>
  <c r="P44" i="9" s="1"/>
  <c r="F43" i="9"/>
  <c r="K43" i="9" s="1"/>
  <c r="P43" i="9" s="1"/>
  <c r="F42" i="9"/>
  <c r="K42" i="9" s="1"/>
  <c r="P42" i="9" s="1"/>
  <c r="F41" i="9"/>
  <c r="K41" i="9" s="1"/>
  <c r="P41" i="9" s="1"/>
  <c r="F40" i="9"/>
  <c r="K40" i="9" s="1"/>
  <c r="P40" i="9" s="1"/>
  <c r="F39" i="9"/>
  <c r="K39" i="9" s="1"/>
  <c r="P39" i="9" s="1"/>
  <c r="F38" i="9"/>
  <c r="K38" i="9" s="1"/>
  <c r="P38" i="9" s="1"/>
  <c r="F37" i="9"/>
  <c r="K37" i="9"/>
  <c r="P37" i="9" s="1"/>
  <c r="F36" i="9"/>
  <c r="K36" i="9" s="1"/>
  <c r="P36" i="9" s="1"/>
  <c r="F35" i="9"/>
  <c r="K35" i="9" s="1"/>
  <c r="P35" i="9" s="1"/>
  <c r="F34" i="9"/>
  <c r="K34" i="9" s="1"/>
  <c r="P34" i="9" s="1"/>
  <c r="F33" i="9"/>
  <c r="K33" i="9" s="1"/>
  <c r="P33" i="9" s="1"/>
  <c r="F32" i="9"/>
  <c r="K32" i="9" s="1"/>
  <c r="P32" i="9" s="1"/>
  <c r="F31" i="9"/>
  <c r="K31" i="9" s="1"/>
  <c r="P31" i="9" s="1"/>
  <c r="F30" i="9"/>
  <c r="K30" i="9" s="1"/>
  <c r="P30" i="9" s="1"/>
  <c r="F29" i="9"/>
  <c r="K29" i="9" s="1"/>
  <c r="P29" i="9" s="1"/>
  <c r="F28" i="9"/>
  <c r="K28" i="9" s="1"/>
  <c r="P28" i="9" s="1"/>
  <c r="F27" i="9"/>
  <c r="K27" i="9" s="1"/>
  <c r="P27" i="9" s="1"/>
  <c r="F26" i="9"/>
  <c r="K26" i="9" s="1"/>
  <c r="P26" i="9" s="1"/>
  <c r="F25" i="9"/>
  <c r="K25" i="9" s="1"/>
  <c r="P25" i="9" s="1"/>
  <c r="F24" i="9"/>
  <c r="K24" i="9" s="1"/>
  <c r="P24" i="9" s="1"/>
  <c r="F23" i="9"/>
  <c r="K23" i="9" s="1"/>
  <c r="P23" i="9" s="1"/>
  <c r="F22" i="9"/>
  <c r="K22" i="9"/>
  <c r="P22" i="9" s="1"/>
  <c r="F21" i="9"/>
  <c r="K21" i="9" s="1"/>
  <c r="P21" i="9" s="1"/>
  <c r="F20" i="9"/>
  <c r="K20" i="9" s="1"/>
  <c r="P20" i="9" s="1"/>
  <c r="F19" i="9"/>
  <c r="K19" i="9" s="1"/>
  <c r="P19" i="9" s="1"/>
  <c r="F18" i="9"/>
  <c r="K18" i="9" s="1"/>
  <c r="P18" i="9" s="1"/>
  <c r="F17" i="9"/>
  <c r="K17" i="9" s="1"/>
  <c r="P17" i="9" s="1"/>
  <c r="F16" i="9"/>
  <c r="K16" i="9" s="1"/>
  <c r="P16" i="9" s="1"/>
  <c r="F15" i="9"/>
  <c r="K15" i="9" s="1"/>
  <c r="P15" i="9" s="1"/>
  <c r="F9" i="9"/>
  <c r="K9" i="9" s="1"/>
  <c r="P9" i="9" s="1"/>
  <c r="F8" i="9"/>
  <c r="K8" i="9" s="1"/>
  <c r="P8" i="9" s="1"/>
  <c r="F7" i="9"/>
  <c r="K7" i="9" s="1"/>
  <c r="P7" i="9" s="1"/>
  <c r="F6" i="9"/>
  <c r="K6" i="9" s="1"/>
  <c r="P6" i="9" s="1"/>
  <c r="F5" i="9"/>
  <c r="K5" i="9" s="1"/>
  <c r="P5" i="9" s="1"/>
  <c r="F4" i="9"/>
  <c r="K4" i="9" s="1"/>
  <c r="P4" i="9" s="1"/>
  <c r="F3" i="9"/>
  <c r="K3" i="9" s="1"/>
  <c r="P3" i="9" s="1"/>
  <c r="O12" i="8"/>
  <c r="O6" i="8"/>
  <c r="O7" i="8"/>
  <c r="O14" i="8"/>
  <c r="O11" i="8"/>
  <c r="O10" i="8"/>
  <c r="O9" i="8"/>
  <c r="O8" i="8"/>
  <c r="O5" i="8"/>
  <c r="O4" i="8"/>
  <c r="O3" i="8"/>
  <c r="I4" i="8"/>
  <c r="J4" i="8" s="1"/>
  <c r="I5" i="8"/>
  <c r="J5" i="8" s="1"/>
  <c r="I9" i="8"/>
  <c r="J9" i="8" s="1"/>
  <c r="I10" i="8"/>
  <c r="J10" i="8" s="1"/>
  <c r="I11" i="8"/>
  <c r="J11" i="8" s="1"/>
  <c r="I3" i="8"/>
  <c r="J3" i="8" s="1"/>
  <c r="I7" i="8"/>
  <c r="J7" i="8" s="1"/>
  <c r="I8" i="8"/>
  <c r="J8" i="8" s="1"/>
  <c r="J14" i="8"/>
  <c r="J13" i="8"/>
  <c r="E4" i="8"/>
  <c r="E5" i="8"/>
  <c r="E6" i="8"/>
  <c r="E7" i="8"/>
  <c r="E8" i="8"/>
  <c r="E9" i="8"/>
  <c r="E10" i="8"/>
  <c r="E12" i="8"/>
  <c r="E14" i="8"/>
  <c r="E3" i="8"/>
  <c r="F11" i="8"/>
  <c r="K11" i="8" s="1"/>
  <c r="F77" i="8"/>
  <c r="K77" i="8" s="1"/>
  <c r="F76" i="8"/>
  <c r="K76" i="8" s="1"/>
  <c r="F75" i="8"/>
  <c r="K75" i="8" s="1"/>
  <c r="F74" i="8"/>
  <c r="K74" i="8" s="1"/>
  <c r="F73" i="8"/>
  <c r="K73" i="8" s="1"/>
  <c r="F72" i="8"/>
  <c r="K72" i="8" s="1"/>
  <c r="F71" i="8"/>
  <c r="K71" i="8" s="1"/>
  <c r="F70" i="8"/>
  <c r="K70" i="8" s="1"/>
  <c r="F69" i="8"/>
  <c r="K69" i="8" s="1"/>
  <c r="F68" i="8"/>
  <c r="K68" i="8" s="1"/>
  <c r="F67" i="8"/>
  <c r="K67" i="8" s="1"/>
  <c r="F66" i="8"/>
  <c r="K66" i="8" s="1"/>
  <c r="F65" i="8"/>
  <c r="K65" i="8" s="1"/>
  <c r="F64" i="8"/>
  <c r="K64" i="8" s="1"/>
  <c r="F63" i="8"/>
  <c r="K63" i="8" s="1"/>
  <c r="F62" i="8"/>
  <c r="K62" i="8" s="1"/>
  <c r="F61" i="8"/>
  <c r="K61" i="8" s="1"/>
  <c r="F60" i="8"/>
  <c r="K60" i="8" s="1"/>
  <c r="F59" i="8"/>
  <c r="K59" i="8" s="1"/>
  <c r="F58" i="8"/>
  <c r="K58" i="8" s="1"/>
  <c r="F57" i="8"/>
  <c r="K57" i="8" s="1"/>
  <c r="F56" i="8"/>
  <c r="K56" i="8" s="1"/>
  <c r="F55" i="8"/>
  <c r="K55" i="8" s="1"/>
  <c r="F54" i="8"/>
  <c r="K54" i="8" s="1"/>
  <c r="F53" i="8"/>
  <c r="K53" i="8" s="1"/>
  <c r="F52" i="8"/>
  <c r="K52" i="8" s="1"/>
  <c r="F51" i="8"/>
  <c r="K51" i="8" s="1"/>
  <c r="F50" i="8"/>
  <c r="K50" i="8" s="1"/>
  <c r="F49" i="8"/>
  <c r="K49" i="8" s="1"/>
  <c r="F48" i="8"/>
  <c r="K48" i="8" s="1"/>
  <c r="F47" i="8"/>
  <c r="K47" i="8" s="1"/>
  <c r="F46" i="8"/>
  <c r="K46" i="8" s="1"/>
  <c r="F45" i="8"/>
  <c r="K45" i="8" s="1"/>
  <c r="F44" i="8"/>
  <c r="K44" i="8" s="1"/>
  <c r="F43" i="8"/>
  <c r="K43" i="8" s="1"/>
  <c r="F42" i="8"/>
  <c r="K42" i="8" s="1"/>
  <c r="F41" i="8"/>
  <c r="K41" i="8" s="1"/>
  <c r="F40" i="8"/>
  <c r="K40" i="8" s="1"/>
  <c r="F39" i="8"/>
  <c r="K39" i="8" s="1"/>
  <c r="F38" i="8"/>
  <c r="K38" i="8" s="1"/>
  <c r="F37" i="8"/>
  <c r="K37" i="8" s="1"/>
  <c r="F36" i="8"/>
  <c r="K36" i="8" s="1"/>
  <c r="F35" i="8"/>
  <c r="K35" i="8" s="1"/>
  <c r="F34" i="8"/>
  <c r="K34" i="8" s="1"/>
  <c r="F33" i="8"/>
  <c r="K33" i="8" s="1"/>
  <c r="F32" i="8"/>
  <c r="K32" i="8" s="1"/>
  <c r="F31" i="8"/>
  <c r="K31" i="8" s="1"/>
  <c r="F30" i="8"/>
  <c r="K30" i="8" s="1"/>
  <c r="F29" i="8"/>
  <c r="K29" i="8" s="1"/>
  <c r="F28" i="8"/>
  <c r="K28" i="8" s="1"/>
  <c r="F27" i="8"/>
  <c r="K27" i="8" s="1"/>
  <c r="F26" i="8"/>
  <c r="K26" i="8" s="1"/>
  <c r="F25" i="8"/>
  <c r="K25" i="8" s="1"/>
  <c r="F24" i="8"/>
  <c r="K24" i="8" s="1"/>
  <c r="F23" i="8"/>
  <c r="K23" i="8" s="1"/>
  <c r="F22" i="8"/>
  <c r="K22" i="8" s="1"/>
  <c r="F21" i="8"/>
  <c r="K21" i="8" s="1"/>
  <c r="F20" i="8"/>
  <c r="K20" i="8" s="1"/>
  <c r="F19" i="8"/>
  <c r="K19" i="8" s="1"/>
  <c r="F18" i="8"/>
  <c r="K18" i="8" s="1"/>
  <c r="F17" i="8"/>
  <c r="K17" i="8" s="1"/>
  <c r="F16" i="8"/>
  <c r="K16" i="8" s="1"/>
  <c r="F15" i="8"/>
  <c r="K15" i="8" s="1"/>
  <c r="F14" i="8"/>
  <c r="K14" i="8" s="1"/>
  <c r="F13" i="8"/>
  <c r="K13" i="8" s="1"/>
  <c r="F12" i="8"/>
  <c r="K12" i="8" s="1"/>
  <c r="F10" i="8"/>
  <c r="K10" i="8" s="1"/>
  <c r="F9" i="8"/>
  <c r="K9" i="8" s="1"/>
  <c r="F8" i="8"/>
  <c r="K8" i="8" s="1"/>
  <c r="F7" i="8"/>
  <c r="K7" i="8" s="1"/>
  <c r="F6" i="8"/>
  <c r="K6" i="8" s="1"/>
  <c r="F5" i="8"/>
  <c r="K5" i="8" s="1"/>
  <c r="F4" i="8"/>
  <c r="K4" i="8" s="1"/>
  <c r="F3" i="8"/>
  <c r="K3" i="8" s="1"/>
  <c r="O8" i="7"/>
  <c r="O7" i="7"/>
  <c r="O6" i="7"/>
  <c r="O5" i="7"/>
  <c r="O4" i="7"/>
  <c r="O3" i="7"/>
  <c r="J11" i="7"/>
  <c r="J7" i="7"/>
  <c r="J6" i="7"/>
  <c r="J5" i="7"/>
  <c r="J4" i="7"/>
  <c r="J3" i="7"/>
  <c r="E4" i="7"/>
  <c r="E5" i="7"/>
  <c r="E6" i="7"/>
  <c r="E8" i="7"/>
  <c r="E11" i="7"/>
  <c r="E3" i="7"/>
  <c r="F78" i="7"/>
  <c r="K78" i="7" s="1"/>
  <c r="F77" i="7"/>
  <c r="K77" i="7" s="1"/>
  <c r="F76" i="7"/>
  <c r="K76" i="7" s="1"/>
  <c r="F75" i="7"/>
  <c r="K75" i="7" s="1"/>
  <c r="F74" i="7"/>
  <c r="K74" i="7" s="1"/>
  <c r="F73" i="7"/>
  <c r="K73" i="7" s="1"/>
  <c r="F72" i="7"/>
  <c r="K72" i="7" s="1"/>
  <c r="F71" i="7"/>
  <c r="K71" i="7" s="1"/>
  <c r="F70" i="7"/>
  <c r="K70" i="7" s="1"/>
  <c r="F69" i="7"/>
  <c r="K69" i="7" s="1"/>
  <c r="F68" i="7"/>
  <c r="K68" i="7" s="1"/>
  <c r="F67" i="7"/>
  <c r="K67" i="7" s="1"/>
  <c r="F66" i="7"/>
  <c r="K66" i="7" s="1"/>
  <c r="F65" i="7"/>
  <c r="K65" i="7" s="1"/>
  <c r="F64" i="7"/>
  <c r="K64" i="7" s="1"/>
  <c r="F63" i="7"/>
  <c r="K63" i="7" s="1"/>
  <c r="F62" i="7"/>
  <c r="K62" i="7" s="1"/>
  <c r="F61" i="7"/>
  <c r="K61" i="7" s="1"/>
  <c r="F60" i="7"/>
  <c r="K60" i="7"/>
  <c r="F59" i="7"/>
  <c r="K59" i="7" s="1"/>
  <c r="F58" i="7"/>
  <c r="K58" i="7" s="1"/>
  <c r="F57" i="7"/>
  <c r="K57" i="7" s="1"/>
  <c r="F56" i="7"/>
  <c r="K56" i="7" s="1"/>
  <c r="F55" i="7"/>
  <c r="K55" i="7" s="1"/>
  <c r="F54" i="7"/>
  <c r="K54" i="7" s="1"/>
  <c r="F53" i="7"/>
  <c r="K53" i="7" s="1"/>
  <c r="F52" i="7"/>
  <c r="K52" i="7" s="1"/>
  <c r="F51" i="7"/>
  <c r="K51" i="7" s="1"/>
  <c r="F50" i="7"/>
  <c r="K50" i="7" s="1"/>
  <c r="F49" i="7"/>
  <c r="K49" i="7" s="1"/>
  <c r="F48" i="7"/>
  <c r="K48" i="7" s="1"/>
  <c r="F47" i="7"/>
  <c r="K47" i="7" s="1"/>
  <c r="F46" i="7"/>
  <c r="K46" i="7" s="1"/>
  <c r="F45" i="7"/>
  <c r="K45" i="7" s="1"/>
  <c r="F44" i="7"/>
  <c r="K44" i="7" s="1"/>
  <c r="F43" i="7"/>
  <c r="K43" i="7" s="1"/>
  <c r="F42" i="7"/>
  <c r="K42" i="7" s="1"/>
  <c r="F41" i="7"/>
  <c r="K41" i="7" s="1"/>
  <c r="F40" i="7"/>
  <c r="K40" i="7" s="1"/>
  <c r="F39" i="7"/>
  <c r="K39" i="7" s="1"/>
  <c r="F38" i="7"/>
  <c r="K38" i="7" s="1"/>
  <c r="F37" i="7"/>
  <c r="K37" i="7" s="1"/>
  <c r="F36" i="7"/>
  <c r="K36" i="7" s="1"/>
  <c r="F35" i="7"/>
  <c r="K35" i="7"/>
  <c r="F34" i="7"/>
  <c r="K34" i="7" s="1"/>
  <c r="F33" i="7"/>
  <c r="K33" i="7" s="1"/>
  <c r="F32" i="7"/>
  <c r="K32" i="7" s="1"/>
  <c r="F31" i="7"/>
  <c r="K31" i="7" s="1"/>
  <c r="F30" i="7"/>
  <c r="K30" i="7" s="1"/>
  <c r="F29" i="7"/>
  <c r="K29" i="7" s="1"/>
  <c r="F28" i="7"/>
  <c r="K28" i="7" s="1"/>
  <c r="F27" i="7"/>
  <c r="K27" i="7" s="1"/>
  <c r="F26" i="7"/>
  <c r="K26" i="7" s="1"/>
  <c r="F25" i="7"/>
  <c r="K25" i="7" s="1"/>
  <c r="F24" i="7"/>
  <c r="K24" i="7" s="1"/>
  <c r="F23" i="7"/>
  <c r="K23" i="7" s="1"/>
  <c r="F22" i="7"/>
  <c r="K22" i="7" s="1"/>
  <c r="F21" i="7"/>
  <c r="K21" i="7" s="1"/>
  <c r="F20" i="7"/>
  <c r="K20" i="7" s="1"/>
  <c r="F19" i="7"/>
  <c r="K19" i="7" s="1"/>
  <c r="F18" i="7"/>
  <c r="K18" i="7" s="1"/>
  <c r="F17" i="7"/>
  <c r="K17" i="7" s="1"/>
  <c r="F16" i="7"/>
  <c r="K16" i="7" s="1"/>
  <c r="F15" i="7"/>
  <c r="K15" i="7" s="1"/>
  <c r="F14" i="7"/>
  <c r="K14" i="7" s="1"/>
  <c r="F13" i="7"/>
  <c r="K13" i="7" s="1"/>
  <c r="F12" i="7"/>
  <c r="K12" i="7" s="1"/>
  <c r="F11" i="7"/>
  <c r="K11" i="7" s="1"/>
  <c r="F8" i="7"/>
  <c r="K8" i="7" s="1"/>
  <c r="F7" i="7"/>
  <c r="K7" i="7" s="1"/>
  <c r="F6" i="7"/>
  <c r="K6" i="7" s="1"/>
  <c r="F5" i="7"/>
  <c r="K5" i="7" s="1"/>
  <c r="F4" i="7"/>
  <c r="K4" i="7" s="1"/>
  <c r="F3" i="7"/>
  <c r="K3" i="7" s="1"/>
  <c r="O14" i="6"/>
  <c r="O11" i="6"/>
  <c r="O9" i="6"/>
  <c r="O8" i="6"/>
  <c r="O7" i="6"/>
  <c r="O6" i="6"/>
  <c r="O5" i="6"/>
  <c r="O4" i="6"/>
  <c r="O3" i="6"/>
  <c r="J14" i="6"/>
  <c r="J11" i="6"/>
  <c r="J9" i="6"/>
  <c r="J8" i="6"/>
  <c r="J7" i="6"/>
  <c r="J6" i="6"/>
  <c r="I5" i="6"/>
  <c r="J5" i="6" s="1"/>
  <c r="I4" i="6"/>
  <c r="J4" i="6" s="1"/>
  <c r="I3" i="6"/>
  <c r="J3" i="6" s="1"/>
  <c r="E4" i="6"/>
  <c r="E5" i="6"/>
  <c r="E7" i="6"/>
  <c r="E8" i="6"/>
  <c r="E9" i="6"/>
  <c r="E11" i="6"/>
  <c r="E3" i="6"/>
  <c r="F80" i="6"/>
  <c r="K80" i="6" s="1"/>
  <c r="F79" i="6"/>
  <c r="K79" i="6" s="1"/>
  <c r="F78" i="6"/>
  <c r="K78" i="6" s="1"/>
  <c r="F77" i="6"/>
  <c r="K77" i="6" s="1"/>
  <c r="F76" i="6"/>
  <c r="K76" i="6" s="1"/>
  <c r="F75" i="6"/>
  <c r="K75" i="6" s="1"/>
  <c r="F74" i="6"/>
  <c r="K74" i="6" s="1"/>
  <c r="F73" i="6"/>
  <c r="K73" i="6" s="1"/>
  <c r="F72" i="6"/>
  <c r="K72" i="6" s="1"/>
  <c r="F71" i="6"/>
  <c r="K71" i="6" s="1"/>
  <c r="F70" i="6"/>
  <c r="K70" i="6" s="1"/>
  <c r="F69" i="6"/>
  <c r="K69" i="6" s="1"/>
  <c r="F68" i="6"/>
  <c r="K68" i="6" s="1"/>
  <c r="F67" i="6"/>
  <c r="K67" i="6" s="1"/>
  <c r="F66" i="6"/>
  <c r="K66" i="6" s="1"/>
  <c r="F65" i="6"/>
  <c r="K65" i="6" s="1"/>
  <c r="F64" i="6"/>
  <c r="K64" i="6" s="1"/>
  <c r="F63" i="6"/>
  <c r="K63" i="6" s="1"/>
  <c r="F62" i="6"/>
  <c r="K62" i="6" s="1"/>
  <c r="F61" i="6"/>
  <c r="K61" i="6" s="1"/>
  <c r="F60" i="6"/>
  <c r="K60" i="6" s="1"/>
  <c r="F59" i="6"/>
  <c r="K59" i="6" s="1"/>
  <c r="F58" i="6"/>
  <c r="K58" i="6" s="1"/>
  <c r="F57" i="6"/>
  <c r="K57" i="6" s="1"/>
  <c r="F56" i="6"/>
  <c r="K56" i="6" s="1"/>
  <c r="F55" i="6"/>
  <c r="K55" i="6" s="1"/>
  <c r="F54" i="6"/>
  <c r="K54" i="6" s="1"/>
  <c r="F53" i="6"/>
  <c r="K53" i="6"/>
  <c r="F52" i="6"/>
  <c r="K52" i="6" s="1"/>
  <c r="F51" i="6"/>
  <c r="K51" i="6" s="1"/>
  <c r="F50" i="6"/>
  <c r="K50" i="6" s="1"/>
  <c r="F49" i="6"/>
  <c r="K49" i="6" s="1"/>
  <c r="F48" i="6"/>
  <c r="K48" i="6" s="1"/>
  <c r="F47" i="6"/>
  <c r="K47" i="6" s="1"/>
  <c r="F46" i="6"/>
  <c r="K46" i="6" s="1"/>
  <c r="F45" i="6"/>
  <c r="K45" i="6" s="1"/>
  <c r="F44" i="6"/>
  <c r="K44" i="6" s="1"/>
  <c r="F43" i="6"/>
  <c r="K43" i="6" s="1"/>
  <c r="F42" i="6"/>
  <c r="K42" i="6" s="1"/>
  <c r="F41" i="6"/>
  <c r="K41" i="6" s="1"/>
  <c r="F40" i="6"/>
  <c r="K40" i="6" s="1"/>
  <c r="F39" i="6"/>
  <c r="K39" i="6" s="1"/>
  <c r="F38" i="6"/>
  <c r="K38" i="6" s="1"/>
  <c r="F37" i="6"/>
  <c r="K37" i="6" s="1"/>
  <c r="F36" i="6"/>
  <c r="K36" i="6" s="1"/>
  <c r="F35" i="6"/>
  <c r="K35" i="6" s="1"/>
  <c r="F34" i="6"/>
  <c r="K34" i="6" s="1"/>
  <c r="F33" i="6"/>
  <c r="K33" i="6" s="1"/>
  <c r="F32" i="6"/>
  <c r="K32" i="6" s="1"/>
  <c r="F31" i="6"/>
  <c r="K31" i="6" s="1"/>
  <c r="F30" i="6"/>
  <c r="K30" i="6" s="1"/>
  <c r="F29" i="6"/>
  <c r="K29" i="6" s="1"/>
  <c r="F28" i="6"/>
  <c r="K28" i="6" s="1"/>
  <c r="F27" i="6"/>
  <c r="K27" i="6" s="1"/>
  <c r="F26" i="6"/>
  <c r="K26" i="6" s="1"/>
  <c r="F25" i="6"/>
  <c r="K25" i="6" s="1"/>
  <c r="F24" i="6"/>
  <c r="K24" i="6" s="1"/>
  <c r="F23" i="6"/>
  <c r="K23" i="6" s="1"/>
  <c r="F22" i="6"/>
  <c r="K22" i="6" s="1"/>
  <c r="F21" i="6"/>
  <c r="K21" i="6" s="1"/>
  <c r="F20" i="6"/>
  <c r="K20" i="6" s="1"/>
  <c r="F19" i="6"/>
  <c r="K19" i="6" s="1"/>
  <c r="F18" i="6"/>
  <c r="K18" i="6" s="1"/>
  <c r="F17" i="6"/>
  <c r="K17" i="6" s="1"/>
  <c r="F14" i="6"/>
  <c r="K14" i="6" s="1"/>
  <c r="F11" i="6"/>
  <c r="K11" i="6" s="1"/>
  <c r="F9" i="6"/>
  <c r="K9" i="6" s="1"/>
  <c r="F8" i="6"/>
  <c r="K8" i="6" s="1"/>
  <c r="F7" i="6"/>
  <c r="K7" i="6" s="1"/>
  <c r="F6" i="6"/>
  <c r="K6" i="6" s="1"/>
  <c r="F5" i="6"/>
  <c r="K5" i="6" s="1"/>
  <c r="F4" i="6"/>
  <c r="K4" i="6" s="1"/>
  <c r="F3" i="6"/>
  <c r="K3" i="6" s="1"/>
</calcChain>
</file>

<file path=xl/sharedStrings.xml><?xml version="1.0" encoding="utf-8"?>
<sst xmlns="http://schemas.openxmlformats.org/spreadsheetml/2006/main" count="577" uniqueCount="173">
  <si>
    <t>ПРОФИЛЬ № 60</t>
  </si>
  <si>
    <t>ПРОФИЛЬ № 61</t>
  </si>
  <si>
    <t>ПРОФИЛЬ № 62</t>
  </si>
  <si>
    <t>ПРОФИЛЬ № 49</t>
  </si>
  <si>
    <t>ПРОФИЛЬ № 50</t>
  </si>
  <si>
    <t>ПРОФИЛЬ № 51</t>
  </si>
  <si>
    <t>Синий</t>
  </si>
  <si>
    <t>Уг.жел.</t>
  </si>
  <si>
    <t>В яме</t>
  </si>
  <si>
    <t>Круглый</t>
  </si>
  <si>
    <t>136В</t>
  </si>
  <si>
    <t>136А</t>
  </si>
  <si>
    <t>138А</t>
  </si>
  <si>
    <t>3С</t>
  </si>
  <si>
    <t>140D</t>
  </si>
  <si>
    <t>5C</t>
  </si>
  <si>
    <t>5C2</t>
  </si>
  <si>
    <t>140А</t>
  </si>
  <si>
    <t>140С</t>
  </si>
  <si>
    <t>ПРОФИЛЬ № 1</t>
  </si>
  <si>
    <t>ПРОФИЛЬ № 2</t>
  </si>
  <si>
    <t>ПРОФИЛЬ № 3</t>
  </si>
  <si>
    <t>1а</t>
  </si>
  <si>
    <t>2а</t>
  </si>
  <si>
    <t>21(нов.)</t>
  </si>
  <si>
    <t>3а</t>
  </si>
  <si>
    <t>ПРОФИЛЬ № 57</t>
  </si>
  <si>
    <t>ПРОФИЛЬ № 58</t>
  </si>
  <si>
    <t>ПРОФИЛЬ № 59</t>
  </si>
  <si>
    <t>шт. 1</t>
  </si>
  <si>
    <t>шт. 2</t>
  </si>
  <si>
    <t>шт. 3</t>
  </si>
  <si>
    <t>ПРОФИЛЬ № 52</t>
  </si>
  <si>
    <t>ПРОФИЛЬ № 53</t>
  </si>
  <si>
    <t>ПРОФИЛЬ № 54</t>
  </si>
  <si>
    <t>124F</t>
  </si>
  <si>
    <t>шт. 7407</t>
  </si>
  <si>
    <t>124В</t>
  </si>
  <si>
    <t>124D</t>
  </si>
  <si>
    <t>126В</t>
  </si>
  <si>
    <t>126С</t>
  </si>
  <si>
    <t>128А</t>
  </si>
  <si>
    <t>1в</t>
  </si>
  <si>
    <t>ПРОФИЛЬ № 4</t>
  </si>
  <si>
    <t>3б</t>
  </si>
  <si>
    <t>ПРОФИЛЬ № 5</t>
  </si>
  <si>
    <t>ПРОФИЛЬ № 6</t>
  </si>
  <si>
    <t>шт. 4</t>
  </si>
  <si>
    <t>шт. 5</t>
  </si>
  <si>
    <t>шт. 6</t>
  </si>
  <si>
    <t>1а (9305)</t>
  </si>
  <si>
    <t>2б</t>
  </si>
  <si>
    <t>2б (8806)</t>
  </si>
  <si>
    <t>2б (9305)</t>
  </si>
  <si>
    <t>2а (черн.)</t>
  </si>
  <si>
    <t>2а (бел.)</t>
  </si>
  <si>
    <t>1а (9507)</t>
  </si>
  <si>
    <t>1а (нижн.)</t>
  </si>
  <si>
    <t>2в</t>
  </si>
  <si>
    <t>3в</t>
  </si>
  <si>
    <t>3а (нов.)</t>
  </si>
  <si>
    <t>1а (верх.)</t>
  </si>
  <si>
    <t>136В(0907)</t>
  </si>
  <si>
    <t>138А(0907)</t>
  </si>
  <si>
    <t>126В*</t>
  </si>
  <si>
    <t>*Примечание: Реперы профиля 53 не сохранились: их положение определялось по GPS и внешним ориентирам.</t>
  </si>
  <si>
    <t>128С</t>
  </si>
  <si>
    <t>133*</t>
  </si>
  <si>
    <t>131*</t>
  </si>
  <si>
    <t>129*</t>
  </si>
  <si>
    <t>*Измерения прямым и обратным ходами. Результаты ходов: ПРФ 57: 66,02 и 66,00 м; ПРФ 58: 71,59 и 71,51 м; ПРФ 59: 94,20 и 93,95 м.</t>
  </si>
  <si>
    <t>1,70*</t>
  </si>
  <si>
    <t>54,14*</t>
  </si>
  <si>
    <t>55,84*</t>
  </si>
  <si>
    <t>1а**</t>
  </si>
  <si>
    <t>1*</t>
  </si>
  <si>
    <t>3*</t>
  </si>
  <si>
    <t>Двойное измерение: 27,10 и 27,02 м.</t>
  </si>
  <si>
    <t>1а (нижн.)*</t>
  </si>
  <si>
    <t>*Из журнала "ВПУ-2006; Зд.: набл. на УПБ": здесь есть схема реперов и описание.</t>
  </si>
  <si>
    <t>2а*</t>
  </si>
  <si>
    <t>То же. ПРФ 57: 65,26 и 65,33 м; ПРФ 58: 67,97 и 67,93 м; ПРФ 59: измерений нет; нет и описаний по Рп 133.</t>
  </si>
  <si>
    <t>48,70: очевидная ошибка в измерении, допущенная студентами; принято 46,70 по измерениям 22.11.2008.</t>
  </si>
  <si>
    <t>Рп "Белимова"*</t>
  </si>
  <si>
    <t>136А*</t>
  </si>
  <si>
    <t>140А*</t>
  </si>
  <si>
    <t>140С*</t>
  </si>
  <si>
    <t>шт. 4*</t>
  </si>
  <si>
    <t>*Быть может, здесь как раз была попытка измерения в горизонте? Пытались тянуть ленту высоко над землей?</t>
  </si>
  <si>
    <t>"Контрольный"</t>
  </si>
  <si>
    <t>3а*</t>
  </si>
  <si>
    <t>*Здесь, очевидно, Рп 3а другой установки, то есть - не начальной.</t>
  </si>
  <si>
    <r>
      <t xml:space="preserve">* Из полевого журнала № 2 ВПУ-2003 (07) (Инв. № 03-07/10-2): Все приведенные длины линий помечены при измерении как </t>
    </r>
    <r>
      <rPr>
        <u/>
        <sz val="10"/>
        <rFont val="Arial"/>
        <family val="2"/>
        <charset val="204"/>
      </rPr>
      <t>наклонные</t>
    </r>
    <r>
      <rPr>
        <sz val="10"/>
        <rFont val="Arial"/>
      </rPr>
      <t xml:space="preserve">. ** В этом журнале описан Рп 1 а, от которого выполнялся домер до бровки; В листе "Выборки по домерам до бровок на УПБ" есть примечание по Рп 1а: "Стальной круглый штырь </t>
    </r>
    <r>
      <rPr>
        <sz val="10"/>
        <rFont val="Calibri"/>
        <family val="2"/>
        <charset val="204"/>
      </rPr>
      <t>ø</t>
    </r>
    <r>
      <rPr>
        <sz val="10"/>
        <rFont val="Arial"/>
        <family val="2"/>
        <charset val="204"/>
      </rPr>
      <t xml:space="preserve"> 25 мм, сплющен сбоку (в сторону вдхр), h=2 см". ***В том же листе им.указание: "Измерено (расст.): Рп 3 - Рп 3а (нов.) = 54,14 м.</t>
    </r>
  </si>
  <si>
    <t>3а (нов.)***</t>
  </si>
  <si>
    <t>ПРИМЕЧАНИЯ</t>
  </si>
  <si>
    <t>21 (нов.)</t>
  </si>
  <si>
    <t>Наблюдения ОГ ВЦГМС по трём УПБ (предоставлены вместе с данными к ВПУ-2010).</t>
  </si>
  <si>
    <t>*</t>
  </si>
  <si>
    <t>Наблюдения ОГ ВЦГМС по трём УПБ (предоставлены вместе с данными к ВПУ-2010). * По створу № 2 измерено расстояние от Рп 2а до бровки, равное 7,15 м, не соответствующее предшествующим данным и поэтому в Сведения не включено.</t>
  </si>
  <si>
    <t>Измерения ОГ ВЦГМС. По створу № 1 предполагается ошибка: не 1а (верх.), а 1а (нижн.).</t>
  </si>
  <si>
    <t>ПРОФИЛЬ МЕЖДУ ОВРАГОМ И БРОВКОЙ ВДХР</t>
  </si>
  <si>
    <t>АР5</t>
  </si>
  <si>
    <t>На створе № 1 домер не выполнялся из-за отсутствия четкой бровки; процесс нейтрализовался, берег нейтрален.</t>
  </si>
  <si>
    <t>126В(1007)</t>
  </si>
  <si>
    <t>128В(1007)</t>
  </si>
  <si>
    <t>Очевидно, по створу № 57 при домере до бровки (45,27 м) пропущена 1 лента; в таблицу внесено исправленное значение домера. Еще больше ошибка на створе № 58 (домер: 35,20 м). В таблицу внесен наиболее правдоподобный результат: 65,20 м.</t>
  </si>
  <si>
    <t>Измерения 2-мя ходами: створ № 57 = 65,25 и 65,17 м; створ № 58 = 65,00 и 64,93 м.</t>
  </si>
  <si>
    <t>136В(1007)</t>
  </si>
  <si>
    <t xml:space="preserve">Бровка на ппс 1 законсервирована, заросла травой. Однако, факт домера 48 метров сомнений практически не вызывает (тем более, см. примечание к домеру 15.07.2009). Т.о.: требуется анализ и корректировка данных по крайней мере с 2000 года. </t>
  </si>
  <si>
    <t xml:space="preserve">На ппс 1 впереди Рп 10 (ближе к вдхр) установлен новый Рп 11 (в 25,36 м от Рп 10: стальная труба с цилиндрическим расширением в верхней части). </t>
  </si>
  <si>
    <t>136В(1109)</t>
  </si>
  <si>
    <t>126D(1007)</t>
  </si>
  <si>
    <t>16,31*</t>
  </si>
  <si>
    <t>*Положение бровки по ППС № 5 определено аналитически (по пропорции от ППС № 4).</t>
  </si>
  <si>
    <t>Расст.от 3 до 33 вычислено по новым координатам в системе КЗС (с учетом данных экспедиции с Гидрометом в сент., 2011).</t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</si>
  <si>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</t>
    </r>
  </si>
  <si>
    <r>
      <t xml:space="preserve"> </t>
    </r>
    <r>
      <rPr>
        <i/>
        <sz val="10"/>
        <rFont val="Arial"/>
        <family val="2"/>
        <charset val="204"/>
      </rPr>
      <t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На ппс № 52: измерение может быть неточным: второго створного репера нет. На ппс № 53 реперы не найдены; на ппс № 54 найден только репер 128В, домер не выполнялся.</t>
    </r>
  </si>
  <si>
    <t xml:space="preserve">На ппс № 3 репер 3 не найден, домер не производился. </t>
  </si>
  <si>
    <r>
      <t xml:space="preserve"> </t>
    </r>
    <r>
      <rPr>
        <i/>
        <sz val="10"/>
        <rFont val="Arial"/>
        <family val="2"/>
        <charset val="204"/>
      </rPr>
      <t xml:space="preserve">Дата домеров принята условно; наблюдения выполнены ОГ ВЦГМС (Надточий, Озерина), информация передана через Озерину и Филиппову; дату необходимо уточнить! Реперы ппс № 49 не найдены, домер не выполнен. </t>
    </r>
  </si>
  <si>
    <t>В результате домера по ппс № 1 очевидная ошибка!</t>
  </si>
  <si>
    <r>
      <t xml:space="preserve"> </t>
    </r>
    <r>
      <rPr>
        <i/>
        <sz val="10"/>
        <rFont val="Arial"/>
        <family val="2"/>
        <charset val="204"/>
      </rPr>
      <t xml:space="preserve">На ППС № 1: внесено уточненное расстояние между Рп 11 и Рп 10 (двойное измерение: 25,32 и 25,34 м). </t>
    </r>
  </si>
  <si>
    <r>
      <t xml:space="preserve"> </t>
    </r>
    <r>
      <rPr>
        <i/>
        <sz val="10"/>
        <rFont val="Arial"/>
        <family val="2"/>
        <charset val="204"/>
      </rPr>
      <t xml:space="preserve">На ППС № 57: наиболее вероятна ошибка в измерении 15.10.12, поскольку Рп 571 не было, а 10.07.13 домер выполнялся после восстановления Рп 571. </t>
    </r>
  </si>
  <si>
    <t>126 D дер.кол</t>
  </si>
  <si>
    <t>33(?)</t>
  </si>
  <si>
    <r>
      <t xml:space="preserve"> </t>
    </r>
    <r>
      <rPr>
        <i/>
        <sz val="10"/>
        <rFont val="Arial"/>
        <family val="2"/>
        <charset val="204"/>
      </rPr>
      <t>Прим.: 1) На ППС № 5 все реперы разрушены отступлением берега. 2) На ППС "АР3 - АР5" репер АР5 не найден; АР3 - на месте.</t>
    </r>
  </si>
  <si>
    <t xml:space="preserve"> На ППС 1 вновь измерено прямым и обратным ходами расстояние между Рп 10 и Рп 11: прямой ход - 25,35; обратный - 25,38; среднее расстояние - 25,365 м. Принято: 25,36 м. </t>
  </si>
  <si>
    <t xml:space="preserve"> На ППС 1 по-прежнему береговой уступ неявен, берег нейтральный - абразионная бровка в рельефе не выражена; измерение до бровки по профилю очень приближенно. </t>
  </si>
  <si>
    <t>На ППС № 57 репер 571 не найден,  веха установлена  с учетом GPS-координат и по описаниям местоположения; на ППС № 58 репер 581 не найден,  веха у лежащего на земле деревянного кола с учетом GPS-координат.</t>
  </si>
  <si>
    <t>32(1407)</t>
  </si>
  <si>
    <t xml:space="preserve">На ППС № 3 измерение произведено от репера с условным названием 32 (1407) до бровки, расстояние между реперами 32(1407) и 3 посчитано с учетом расчетного расстояния между реперами 32(1407) и 33(1407). </t>
  </si>
  <si>
    <t>11(1407)</t>
  </si>
  <si>
    <t>126Е(1107)</t>
  </si>
  <si>
    <t>6(1507)</t>
  </si>
  <si>
    <t xml:space="preserve"> Измерение по перпендикуляру к бровке от РП 6(1507)</t>
  </si>
  <si>
    <t>На профиле 52 утрачены все репера, измерение по перпендикуляру от разрушенного фундамента дома Ткаченко Анастасии Ефимовны</t>
  </si>
  <si>
    <t>Измерение проведено лентой рулетки</t>
  </si>
  <si>
    <t>На ППС № 3 возможно домер сделан с ошибкой.</t>
  </si>
  <si>
    <t>На ППС № 59 Рп 591 не найден.</t>
  </si>
  <si>
    <t>*Положение бровки на ППС 1 по-прежнему не изменно, поэтому домеры на ППС 1 не производились.</t>
  </si>
  <si>
    <t>На ППС № 1 домеры до бровки не производились.</t>
  </si>
  <si>
    <t>На ППС № 59 заложен РП 592.</t>
  </si>
  <si>
    <t>На ППС № 1 возможно домеры до бровки произведены от Рп 1а (верхний).</t>
  </si>
  <si>
    <t xml:space="preserve">* На ППС 3 найден только РП 31. Измерение от РП 31 по перпендикуляру к бровке дало ошибочный результат. Поэтому расстояние здесь не приведено.  </t>
  </si>
  <si>
    <t>Домеры на ППС 6 не проводились, т.к. на створе только Рп 6(1507)</t>
  </si>
  <si>
    <t>На ППС № 58 Рп 581(1507) не найден; веха устанослена с учетом GPS-координат и по описаниям местоположения</t>
  </si>
  <si>
    <t>На ППС № 1 и ППС № 2 домеры не производились, т.к. найдены только Рп 1 и 2а.</t>
  </si>
  <si>
    <t>Дата измерения</t>
  </si>
  <si>
    <t>ГП</t>
  </si>
  <si>
    <t>ИГП, м</t>
  </si>
  <si>
    <t>ИПН, м</t>
  </si>
  <si>
    <t>РГП-ПН, м</t>
  </si>
  <si>
    <t>и расстояние Рп 1 - Рп 1а(9507) измерено точно, с учетом угла наклона и уравнено в полигоне (53,07 м). Однако сам Рп 1а(9507) не был описан и описание в паспорте</t>
  </si>
  <si>
    <t>отсутствовало. А позже (в 2000) на ППС был дополнительно заложен выше по склону Рп 10.</t>
  </si>
  <si>
    <t>3) После 2000 г. эти 2 репера 1а во избежании путанницы были названы "1а (верхний)" и "1а (нижний)". Лишь 22.01.2020 на основании анализа всех имеющихся данных</t>
  </si>
  <si>
    <t>(включая данные серии 09.10.2019) Филипповым и Барановой эти реперы идентифицированы и увязаны с остальными пунктами на ППС, а домеры в настоящей</t>
  </si>
  <si>
    <t>1а (0007)=1а(ниж)</t>
  </si>
  <si>
    <t>таблице откорректированы. Установлено расположение пп на ППС: Рп 1 - Рп 1а (верхний) (он же: Рп 1а(9507) = 57,03; 1а (верхний) - 1а (нижний) (он же: 1а (установки 1987 г.) = 0,93; попутно: Рп 1а (верхний; он же Рп 1а(9507)) - Рп 10 = 9,74 м.</t>
  </si>
  <si>
    <t>1а=1а(ниж.)</t>
  </si>
  <si>
    <t>1а (верх.)*</t>
  </si>
  <si>
    <t>На ППС 3 домеры не производились, т.к. домеры на 3-м створе были произведены 14.08.2019 г.</t>
  </si>
  <si>
    <t>* - Рп 118 не найден, домеры не производились на профиле 49</t>
  </si>
  <si>
    <t xml:space="preserve">   В документе, переданном из ОГ ВЦГМС: 6,45 м. Очевидно, в домере пропущена лента (20 м).</t>
  </si>
  <si>
    <t>Плякин, Виняр</t>
  </si>
  <si>
    <t>* - Домеры по 4 профилю не производились, так как не найден штырь 4;  измерение по перпендикуляру к бровке от РП 6(1507).</t>
  </si>
  <si>
    <t>* - В связи с тем, что все РП на створе были утрачены, измерение не проводилось.</t>
  </si>
  <si>
    <t>126F(1107)</t>
  </si>
  <si>
    <t>128C</t>
  </si>
  <si>
    <t>* - домер не выполнен из-за недостатка времени.</t>
  </si>
  <si>
    <t>Домеры выполнены экспедицией Гидромета, на ППС 3 домеры не производились.</t>
  </si>
  <si>
    <t>Домеры выполнены экспедицией Гидромета, на ППС 3 нижние репера не найдены, поэтому домеры не производились.</t>
  </si>
  <si>
    <t>138C</t>
  </si>
  <si>
    <t>140F</t>
  </si>
  <si>
    <t>Измерение лентой рулетки. На профиле 3 по перпендикуляру. На профилях 4 и 5 репера не найдены. На профиле 3 расчет приблизительный, т.к. расстояние между реперами вычислялось по GPS-координатам, что может дать ошибку в 3-4 метра.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</si>
</sst>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;@"/>
  </numFmts>
  <fonts count="2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u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Calibri"/>
      <family val="2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</font>
    <font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</font>
    <font>
      <sz val="8"/>
      <name val="Arial"/>
      <family val="2"/>
      <charset val="204"/>
    </font>
    <font>
      <sz val="10"/>
      <color indexed="10"/>
      <name val="Arial"/>
      <family val="2"/>
      <charset val="204"/>
    </font>
    <font>
      <i/>
      <sz val="10"/>
      <color indexed="10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1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5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2" fontId="1" fillId="2" borderId="1" xfId="0" applyNumberFormat="1" applyFont="1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2" fontId="1" fillId="5" borderId="1" xfId="0" applyNumberFormat="1" applyFont="1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5" fillId="0" borderId="0" xfId="0" applyFont="1"/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7" fillId="0" borderId="0" xfId="0" applyFont="1"/>
    <xf numFmtId="2" fontId="0" fillId="5" borderId="1" xfId="0" applyNumberForma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2" fontId="1" fillId="6" borderId="1" xfId="0" applyNumberFormat="1" applyFont="1" applyFill="1" applyBorder="1"/>
    <xf numFmtId="2" fontId="2" fillId="6" borderId="1" xfId="0" applyNumberFormat="1" applyFon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0" fontId="3" fillId="6" borderId="1" xfId="0" applyFont="1" applyFill="1" applyBorder="1"/>
    <xf numFmtId="2" fontId="2" fillId="3" borderId="1" xfId="0" applyNumberFormat="1" applyFont="1" applyFill="1" applyBorder="1"/>
    <xf numFmtId="2" fontId="0" fillId="0" borderId="0" xfId="0" applyNumberFormat="1"/>
    <xf numFmtId="2" fontId="8" fillId="3" borderId="1" xfId="0" applyNumberFormat="1" applyFont="1" applyFill="1" applyBorder="1"/>
    <xf numFmtId="2" fontId="7" fillId="3" borderId="1" xfId="0" applyNumberFormat="1" applyFont="1" applyFill="1" applyBorder="1" applyAlignment="1">
      <alignment horizontal="right"/>
    </xf>
    <xf numFmtId="0" fontId="8" fillId="0" borderId="0" xfId="0" applyFont="1"/>
    <xf numFmtId="2" fontId="9" fillId="2" borderId="1" xfId="0" applyNumberFormat="1" applyFont="1" applyFill="1" applyBorder="1"/>
    <xf numFmtId="2" fontId="10" fillId="2" borderId="1" xfId="0" applyNumberFormat="1" applyFont="1" applyFill="1" applyBorder="1"/>
    <xf numFmtId="0" fontId="9" fillId="2" borderId="1" xfId="0" applyFont="1" applyFill="1" applyBorder="1"/>
    <xf numFmtId="2" fontId="11" fillId="2" borderId="1" xfId="0" applyNumberFormat="1" applyFont="1" applyFill="1" applyBorder="1"/>
    <xf numFmtId="2" fontId="12" fillId="2" borderId="1" xfId="0" applyNumberFormat="1" applyFont="1" applyFill="1" applyBorder="1"/>
    <xf numFmtId="0" fontId="10" fillId="2" borderId="1" xfId="0" applyFont="1" applyFill="1" applyBorder="1"/>
    <xf numFmtId="0" fontId="15" fillId="0" borderId="0" xfId="0" applyFont="1"/>
    <xf numFmtId="0" fontId="14" fillId="0" borderId="0" xfId="0" applyFont="1"/>
    <xf numFmtId="164" fontId="3" fillId="3" borderId="1" xfId="0" applyNumberFormat="1" applyFont="1" applyFill="1" applyBorder="1"/>
    <xf numFmtId="0" fontId="3" fillId="3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0" fontId="2" fillId="2" borderId="1" xfId="0" applyFont="1" applyFill="1" applyBorder="1"/>
    <xf numFmtId="2" fontId="18" fillId="3" borderId="1" xfId="0" applyNumberFormat="1" applyFont="1" applyFill="1" applyBorder="1"/>
    <xf numFmtId="0" fontId="19" fillId="2" borderId="1" xfId="0" applyFont="1" applyFill="1" applyBorder="1"/>
    <xf numFmtId="2" fontId="19" fillId="4" borderId="1" xfId="0" applyNumberFormat="1" applyFont="1" applyFill="1" applyBorder="1"/>
    <xf numFmtId="0" fontId="16" fillId="2" borderId="2" xfId="0" applyFont="1" applyFill="1" applyBorder="1" applyAlignment="1">
      <alignment horizontal="justify" vertical="top"/>
    </xf>
    <xf numFmtId="0" fontId="16" fillId="3" borderId="2" xfId="0" applyFont="1" applyFill="1" applyBorder="1" applyAlignment="1">
      <alignment horizontal="justify" vertical="top"/>
    </xf>
    <xf numFmtId="0" fontId="16" fillId="4" borderId="2" xfId="0" applyFont="1" applyFill="1" applyBorder="1" applyAlignment="1">
      <alignment horizontal="justify" vertical="top"/>
    </xf>
    <xf numFmtId="0" fontId="16" fillId="0" borderId="0" xfId="0" applyFont="1" applyAlignment="1">
      <alignment horizontal="justify" vertical="top"/>
    </xf>
    <xf numFmtId="0" fontId="1" fillId="2" borderId="1" xfId="1" applyFont="1" applyFill="1" applyBorder="1"/>
    <xf numFmtId="0" fontId="3" fillId="2" borderId="1" xfId="1" applyFill="1" applyBorder="1" applyAlignment="1">
      <alignment horizontal="right"/>
    </xf>
    <xf numFmtId="0" fontId="3" fillId="2" borderId="1" xfId="1" applyFill="1" applyBorder="1"/>
    <xf numFmtId="0" fontId="1" fillId="3" borderId="1" xfId="1" applyFont="1" applyFill="1" applyBorder="1"/>
    <xf numFmtId="0" fontId="3" fillId="3" borderId="1" xfId="1" applyFill="1" applyBorder="1" applyAlignment="1">
      <alignment horizontal="right"/>
    </xf>
    <xf numFmtId="0" fontId="3" fillId="3" borderId="1" xfId="1" applyFill="1" applyBorder="1"/>
    <xf numFmtId="0" fontId="1" fillId="4" borderId="1" xfId="1" applyFont="1" applyFill="1" applyBorder="1"/>
    <xf numFmtId="0" fontId="3" fillId="4" borderId="1" xfId="1" applyFill="1" applyBorder="1" applyAlignment="1">
      <alignment horizontal="right"/>
    </xf>
    <xf numFmtId="0" fontId="3" fillId="4" borderId="1" xfId="1" applyFill="1" applyBorder="1"/>
    <xf numFmtId="0" fontId="3" fillId="0" borderId="0" xfId="1" applyFont="1"/>
    <xf numFmtId="0" fontId="3" fillId="0" borderId="0" xfId="1"/>
    <xf numFmtId="0" fontId="8" fillId="6" borderId="3" xfId="1" applyFont="1" applyFill="1" applyBorder="1"/>
    <xf numFmtId="0" fontId="3" fillId="6" borderId="0" xfId="1" applyFill="1" applyBorder="1"/>
    <xf numFmtId="0" fontId="3" fillId="6" borderId="4" xfId="1" applyFill="1" applyBorder="1"/>
    <xf numFmtId="14" fontId="8" fillId="2" borderId="1" xfId="1" applyNumberFormat="1" applyFont="1" applyFill="1" applyBorder="1"/>
    <xf numFmtId="0" fontId="8" fillId="2" borderId="1" xfId="1" applyFont="1" applyFill="1" applyBorder="1" applyAlignment="1">
      <alignment horizontal="right"/>
    </xf>
    <xf numFmtId="2" fontId="8" fillId="2" borderId="1" xfId="1" applyNumberFormat="1" applyFont="1" applyFill="1" applyBorder="1"/>
    <xf numFmtId="0" fontId="8" fillId="2" borderId="1" xfId="1" applyFont="1" applyFill="1" applyBorder="1"/>
    <xf numFmtId="2" fontId="7" fillId="2" borderId="1" xfId="1" applyNumberFormat="1" applyFont="1" applyFill="1" applyBorder="1"/>
    <xf numFmtId="164" fontId="3" fillId="3" borderId="1" xfId="1" applyNumberFormat="1" applyFill="1" applyBorder="1"/>
    <xf numFmtId="2" fontId="1" fillId="3" borderId="1" xfId="1" applyNumberFormat="1" applyFont="1" applyFill="1" applyBorder="1"/>
    <xf numFmtId="164" fontId="3" fillId="4" borderId="1" xfId="1" applyNumberFormat="1" applyFill="1" applyBorder="1"/>
    <xf numFmtId="2" fontId="3" fillId="4" borderId="1" xfId="1" applyNumberFormat="1" applyFill="1" applyBorder="1"/>
    <xf numFmtId="2" fontId="1" fillId="4" borderId="1" xfId="1" applyNumberFormat="1" applyFont="1" applyFill="1" applyBorder="1"/>
    <xf numFmtId="0" fontId="7" fillId="2" borderId="1" xfId="1" applyFont="1" applyFill="1" applyBorder="1"/>
    <xf numFmtId="0" fontId="8" fillId="6" borderId="5" xfId="1" applyFont="1" applyFill="1" applyBorder="1"/>
    <xf numFmtId="0" fontId="3" fillId="6" borderId="6" xfId="1" applyFill="1" applyBorder="1"/>
    <xf numFmtId="0" fontId="3" fillId="6" borderId="7" xfId="1" applyFill="1" applyBorder="1"/>
    <xf numFmtId="0" fontId="3" fillId="3" borderId="1" xfId="1" applyFont="1" applyFill="1" applyBorder="1" applyAlignment="1">
      <alignment horizontal="right"/>
    </xf>
    <xf numFmtId="0" fontId="3" fillId="4" borderId="1" xfId="1" applyFont="1" applyFill="1" applyBorder="1" applyAlignment="1">
      <alignment horizontal="right"/>
    </xf>
    <xf numFmtId="2" fontId="3" fillId="4" borderId="1" xfId="1" applyNumberFormat="1" applyFill="1" applyBorder="1" applyAlignment="1">
      <alignment horizontal="right"/>
    </xf>
    <xf numFmtId="2" fontId="1" fillId="4" borderId="1" xfId="1" applyNumberFormat="1" applyFont="1" applyFill="1" applyBorder="1" applyAlignment="1">
      <alignment horizontal="right"/>
    </xf>
    <xf numFmtId="0" fontId="2" fillId="3" borderId="1" xfId="1" applyFont="1" applyFill="1" applyBorder="1"/>
    <xf numFmtId="0" fontId="7" fillId="0" borderId="0" xfId="1" applyFont="1"/>
    <xf numFmtId="0" fontId="2" fillId="4" borderId="1" xfId="1" applyFont="1" applyFill="1" applyBorder="1"/>
    <xf numFmtId="2" fontId="2" fillId="4" borderId="1" xfId="1" applyNumberFormat="1" applyFont="1" applyFill="1" applyBorder="1"/>
    <xf numFmtId="0" fontId="8" fillId="0" borderId="0" xfId="1" applyFont="1"/>
    <xf numFmtId="2" fontId="2" fillId="3" borderId="1" xfId="1" applyNumberFormat="1" applyFont="1" applyFill="1" applyBorder="1"/>
    <xf numFmtId="2" fontId="3" fillId="3" borderId="1" xfId="1" applyNumberFormat="1" applyFill="1" applyBorder="1"/>
    <xf numFmtId="164" fontId="3" fillId="4" borderId="1" xfId="1" applyNumberFormat="1" applyFont="1" applyFill="1" applyBorder="1"/>
    <xf numFmtId="0" fontId="3" fillId="4" borderId="1" xfId="1" applyFont="1" applyFill="1" applyBorder="1"/>
    <xf numFmtId="2" fontId="3" fillId="4" borderId="1" xfId="1" applyNumberFormat="1" applyFont="1" applyFill="1" applyBorder="1"/>
    <xf numFmtId="164" fontId="3" fillId="3" borderId="1" xfId="1" applyNumberFormat="1" applyFont="1" applyFill="1" applyBorder="1"/>
    <xf numFmtId="0" fontId="3" fillId="3" borderId="1" xfId="1" applyFont="1" applyFill="1" applyBorder="1"/>
    <xf numFmtId="0" fontId="15" fillId="0" borderId="0" xfId="1" applyFont="1"/>
    <xf numFmtId="2" fontId="18" fillId="3" borderId="1" xfId="1" applyNumberFormat="1" applyFont="1" applyFill="1" applyBorder="1"/>
    <xf numFmtId="0" fontId="18" fillId="4" borderId="1" xfId="1" applyFont="1" applyFill="1" applyBorder="1"/>
    <xf numFmtId="2" fontId="17" fillId="4" borderId="1" xfId="1" applyNumberFormat="1" applyFont="1" applyFill="1" applyBorder="1"/>
    <xf numFmtId="14" fontId="3" fillId="2" borderId="1" xfId="1" applyNumberFormat="1" applyFill="1" applyBorder="1"/>
    <xf numFmtId="0" fontId="3" fillId="2" borderId="1" xfId="1" applyFont="1" applyFill="1" applyBorder="1" applyAlignment="1">
      <alignment horizontal="right"/>
    </xf>
    <xf numFmtId="2" fontId="2" fillId="2" borderId="1" xfId="1" applyNumberFormat="1" applyFont="1" applyFill="1" applyBorder="1"/>
    <xf numFmtId="0" fontId="3" fillId="2" borderId="1" xfId="1" applyFont="1" applyFill="1" applyBorder="1"/>
    <xf numFmtId="2" fontId="18" fillId="2" borderId="1" xfId="1" applyNumberFormat="1" applyFont="1" applyFill="1" applyBorder="1"/>
    <xf numFmtId="2" fontId="18" fillId="4" borderId="1" xfId="1" applyNumberFormat="1" applyFont="1" applyFill="1" applyBorder="1"/>
    <xf numFmtId="0" fontId="8" fillId="2" borderId="1" xfId="0" applyFont="1" applyFill="1" applyBorder="1"/>
    <xf numFmtId="2" fontId="20" fillId="2" borderId="1" xfId="0" applyNumberFormat="1" applyFont="1" applyFill="1" applyBorder="1"/>
    <xf numFmtId="2" fontId="21" fillId="2" borderId="1" xfId="0" applyNumberFormat="1" applyFont="1" applyFill="1" applyBorder="1"/>
    <xf numFmtId="2" fontId="3" fillId="4" borderId="1" xfId="0" applyNumberFormat="1" applyFont="1" applyFill="1" applyBorder="1"/>
    <xf numFmtId="2" fontId="22" fillId="3" borderId="1" xfId="0" applyNumberFormat="1" applyFont="1" applyFill="1" applyBorder="1"/>
    <xf numFmtId="2" fontId="22" fillId="4" borderId="1" xfId="0" applyNumberFormat="1" applyFont="1" applyFill="1" applyBorder="1"/>
    <xf numFmtId="0" fontId="22" fillId="4" borderId="1" xfId="0" applyFont="1" applyFill="1" applyBorder="1"/>
    <xf numFmtId="0" fontId="22" fillId="3" borderId="1" xfId="1" applyFont="1" applyFill="1" applyBorder="1"/>
    <xf numFmtId="0" fontId="22" fillId="3" borderId="1" xfId="0" applyFont="1" applyFill="1" applyBorder="1"/>
    <xf numFmtId="0" fontId="21" fillId="2" borderId="1" xfId="1" applyFont="1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workbookViewId="0">
      <selection activeCell="A2" sqref="A2:XFD2"/>
    </sheetView>
  </sheetViews>
  <sheetFormatPr defaultRowHeight="13" x14ac:dyDescent="0.3"/>
  <cols>
    <col min="1" max="1" width="10.1796875" style="2" bestFit="1" customWidth="1"/>
    <col min="2" max="2" width="10.81640625" style="10" customWidth="1"/>
    <col min="3" max="3" width="9.1796875" style="2" customWidth="1"/>
    <col min="4" max="4" width="11" style="2" customWidth="1"/>
    <col min="5" max="5" width="11.54296875" style="1" bestFit="1" customWidth="1"/>
    <col min="6" max="6" width="11.26953125" style="4" customWidth="1"/>
    <col min="7" max="7" width="14.26953125" style="11" customWidth="1"/>
    <col min="8" max="10" width="9.1796875" style="4" customWidth="1"/>
    <col min="11" max="11" width="12.1796875" style="6" customWidth="1"/>
    <col min="12" max="12" width="9.1796875" style="12" customWidth="1"/>
    <col min="13" max="18" width="9.1796875" style="6" customWidth="1"/>
    <col min="22" max="22" width="10.54296875" customWidth="1"/>
    <col min="23" max="23" width="11.26953125" customWidth="1"/>
    <col min="24" max="24" width="11" customWidth="1"/>
    <col min="25" max="25" width="11.7265625" customWidth="1"/>
    <col min="26" max="26" width="11.453125" customWidth="1"/>
  </cols>
  <sheetData>
    <row r="1" spans="1:15" x14ac:dyDescent="0.3">
      <c r="A1" s="1" t="s">
        <v>0</v>
      </c>
      <c r="F1" s="3" t="s">
        <v>1</v>
      </c>
      <c r="K1" s="5" t="s">
        <v>2</v>
      </c>
    </row>
    <row r="2" spans="1:15" s="80" customFormat="1" ht="23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5" x14ac:dyDescent="0.3">
      <c r="A3" s="21">
        <v>21459</v>
      </c>
      <c r="B3" s="10">
        <v>136</v>
      </c>
      <c r="C3" s="20">
        <v>125.4</v>
      </c>
      <c r="D3" s="2">
        <f>69.73+54.29</f>
        <v>124.02000000000001</v>
      </c>
      <c r="E3" s="16">
        <f t="shared" ref="E3:E18" si="0">D3+C3</f>
        <v>249.42000000000002</v>
      </c>
      <c r="F3" s="8">
        <f t="shared" ref="F3:F34" si="1">IF(ISNUMBER(A3),A3,"")</f>
        <v>21459</v>
      </c>
      <c r="G3" s="11">
        <v>138</v>
      </c>
      <c r="H3" s="22">
        <v>156.30000000000001</v>
      </c>
      <c r="I3" s="4">
        <v>96.22</v>
      </c>
      <c r="J3" s="17">
        <f t="shared" ref="J3:J11" si="2">I3+H3</f>
        <v>252.52</v>
      </c>
      <c r="K3" s="9">
        <f t="shared" ref="K3:K34" si="3">IF(ISNUMBER(F3),F3,"")</f>
        <v>21459</v>
      </c>
      <c r="L3" s="12">
        <v>140</v>
      </c>
      <c r="M3" s="23">
        <v>134.30000000000001</v>
      </c>
      <c r="O3" s="34">
        <v>428.82981568639838</v>
      </c>
    </row>
    <row r="4" spans="1:15" x14ac:dyDescent="0.3">
      <c r="A4" s="21">
        <v>22212</v>
      </c>
      <c r="B4" s="10">
        <v>136</v>
      </c>
      <c r="C4" s="20">
        <v>106.22</v>
      </c>
      <c r="D4" s="2">
        <f t="shared" ref="D4:D11" si="4">69.73+54.29</f>
        <v>124.02000000000001</v>
      </c>
      <c r="E4" s="16">
        <f t="shared" si="0"/>
        <v>230.24</v>
      </c>
      <c r="F4" s="8">
        <f t="shared" si="1"/>
        <v>22212</v>
      </c>
      <c r="G4" s="11">
        <v>138</v>
      </c>
      <c r="H4" s="22">
        <v>135.36000000000001</v>
      </c>
      <c r="I4" s="4">
        <v>96.22</v>
      </c>
      <c r="J4" s="17">
        <f t="shared" si="2"/>
        <v>231.58</v>
      </c>
      <c r="K4" s="9">
        <f t="shared" si="3"/>
        <v>22212</v>
      </c>
      <c r="L4" s="12">
        <v>140</v>
      </c>
      <c r="M4" s="23">
        <v>109.2</v>
      </c>
      <c r="O4" s="34">
        <v>403.72981568639835</v>
      </c>
    </row>
    <row r="5" spans="1:15" x14ac:dyDescent="0.3">
      <c r="A5" s="21">
        <v>23954</v>
      </c>
      <c r="B5" s="10">
        <v>136</v>
      </c>
      <c r="C5" s="20">
        <v>74.760000000000005</v>
      </c>
      <c r="D5" s="2">
        <f t="shared" si="4"/>
        <v>124.02000000000001</v>
      </c>
      <c r="E5" s="16">
        <f t="shared" si="0"/>
        <v>198.78000000000003</v>
      </c>
      <c r="F5" s="8">
        <f t="shared" si="1"/>
        <v>23954</v>
      </c>
      <c r="G5" s="11">
        <v>138</v>
      </c>
      <c r="H5" s="22">
        <v>111.43</v>
      </c>
      <c r="I5" s="4">
        <v>96.22</v>
      </c>
      <c r="J5" s="17">
        <f t="shared" si="2"/>
        <v>207.65</v>
      </c>
      <c r="K5" s="9">
        <f t="shared" si="3"/>
        <v>23954</v>
      </c>
      <c r="L5" s="12">
        <v>140</v>
      </c>
      <c r="M5" s="23">
        <v>72.05</v>
      </c>
      <c r="O5" s="34">
        <v>366.57981568639838</v>
      </c>
    </row>
    <row r="6" spans="1:15" x14ac:dyDescent="0.3">
      <c r="A6" s="21">
        <v>25767</v>
      </c>
      <c r="B6" s="10">
        <v>136</v>
      </c>
      <c r="C6" s="20">
        <v>58.17</v>
      </c>
      <c r="D6" s="2">
        <f t="shared" si="4"/>
        <v>124.02000000000001</v>
      </c>
      <c r="E6" s="16">
        <f t="shared" si="0"/>
        <v>182.19</v>
      </c>
      <c r="F6" s="8">
        <f t="shared" si="1"/>
        <v>25767</v>
      </c>
      <c r="G6" s="11">
        <v>138</v>
      </c>
      <c r="H6" s="22">
        <v>91</v>
      </c>
      <c r="I6" s="4">
        <v>96.22</v>
      </c>
      <c r="J6" s="17">
        <f t="shared" si="2"/>
        <v>187.22</v>
      </c>
      <c r="K6" s="9">
        <f t="shared" si="3"/>
        <v>25767</v>
      </c>
      <c r="L6" s="12">
        <v>140</v>
      </c>
      <c r="M6" s="23">
        <v>48.71</v>
      </c>
      <c r="O6" s="34">
        <v>343.23981568639834</v>
      </c>
    </row>
    <row r="7" spans="1:15" x14ac:dyDescent="0.3">
      <c r="A7" s="21">
        <v>27223</v>
      </c>
      <c r="B7" s="10">
        <v>135</v>
      </c>
      <c r="C7" s="20">
        <v>11.8</v>
      </c>
      <c r="D7" s="2">
        <f>69.73+54.29+37.1</f>
        <v>161.12</v>
      </c>
      <c r="E7" s="16">
        <f t="shared" si="0"/>
        <v>172.92000000000002</v>
      </c>
      <c r="F7" s="8">
        <f t="shared" si="1"/>
        <v>27223</v>
      </c>
      <c r="G7" s="11">
        <v>137</v>
      </c>
      <c r="H7" s="22">
        <v>30.7</v>
      </c>
      <c r="I7" s="4">
        <f>122.82+20.26</f>
        <v>143.07999999999998</v>
      </c>
      <c r="J7" s="17">
        <f t="shared" si="2"/>
        <v>173.77999999999997</v>
      </c>
      <c r="K7" s="9">
        <f t="shared" si="3"/>
        <v>27223</v>
      </c>
      <c r="L7" s="12">
        <v>139</v>
      </c>
      <c r="M7" s="23">
        <v>7.1</v>
      </c>
      <c r="O7" s="34">
        <v>326.63395009159166</v>
      </c>
    </row>
    <row r="8" spans="1:15" x14ac:dyDescent="0.3">
      <c r="A8" s="21">
        <v>29552</v>
      </c>
      <c r="B8" s="10">
        <v>135</v>
      </c>
      <c r="C8" s="20">
        <v>1.65</v>
      </c>
      <c r="D8" s="2">
        <f>69.73+54.29+37.1</f>
        <v>161.12</v>
      </c>
      <c r="E8" s="16">
        <f t="shared" si="0"/>
        <v>162.77000000000001</v>
      </c>
      <c r="F8" s="8">
        <f t="shared" si="1"/>
        <v>29552</v>
      </c>
      <c r="G8" s="11">
        <v>137</v>
      </c>
      <c r="H8" s="22">
        <v>20.45</v>
      </c>
      <c r="I8" s="4">
        <f>122.82+20.26</f>
        <v>143.07999999999998</v>
      </c>
      <c r="J8" s="17">
        <f t="shared" si="2"/>
        <v>163.52999999999997</v>
      </c>
      <c r="K8" s="9">
        <f t="shared" si="3"/>
        <v>29552</v>
      </c>
      <c r="L8" s="12">
        <v>140</v>
      </c>
      <c r="M8" s="23">
        <v>19.45</v>
      </c>
      <c r="O8" s="34">
        <v>313.97981568639835</v>
      </c>
    </row>
    <row r="9" spans="1:15" x14ac:dyDescent="0.3">
      <c r="A9" s="21">
        <v>31711</v>
      </c>
      <c r="B9" s="10">
        <v>136</v>
      </c>
      <c r="C9" s="20">
        <v>24.5</v>
      </c>
      <c r="D9" s="2">
        <f t="shared" si="4"/>
        <v>124.02000000000001</v>
      </c>
      <c r="E9" s="16">
        <f t="shared" si="0"/>
        <v>148.52000000000001</v>
      </c>
      <c r="F9" s="8">
        <f t="shared" si="1"/>
        <v>31711</v>
      </c>
      <c r="G9" s="11">
        <v>138</v>
      </c>
      <c r="H9" s="22">
        <v>52.15</v>
      </c>
      <c r="I9" s="4">
        <v>96.22</v>
      </c>
      <c r="J9" s="17">
        <f t="shared" si="2"/>
        <v>148.37</v>
      </c>
      <c r="K9" s="9">
        <f t="shared" si="3"/>
        <v>31711</v>
      </c>
      <c r="L9" s="12" t="s">
        <v>15</v>
      </c>
      <c r="M9" s="23">
        <v>19.43</v>
      </c>
      <c r="O9" s="34">
        <v>291.95568095468417</v>
      </c>
    </row>
    <row r="10" spans="1:15" x14ac:dyDescent="0.3">
      <c r="A10" s="21">
        <v>33529</v>
      </c>
      <c r="B10" s="10">
        <v>136</v>
      </c>
      <c r="C10" s="20">
        <v>6.38</v>
      </c>
      <c r="D10" s="2">
        <f t="shared" si="4"/>
        <v>124.02000000000001</v>
      </c>
      <c r="E10" s="16">
        <f t="shared" si="0"/>
        <v>130.4</v>
      </c>
      <c r="F10" s="8">
        <f t="shared" si="1"/>
        <v>33529</v>
      </c>
      <c r="G10" s="11" t="s">
        <v>13</v>
      </c>
      <c r="H10" s="22">
        <v>5.63</v>
      </c>
      <c r="I10" s="4">
        <f>96.22+26.6</f>
        <v>122.82</v>
      </c>
      <c r="J10" s="17">
        <f t="shared" si="2"/>
        <v>128.44999999999999</v>
      </c>
      <c r="K10" s="9">
        <f t="shared" si="3"/>
        <v>33529</v>
      </c>
      <c r="L10" s="12" t="s">
        <v>16</v>
      </c>
      <c r="M10" s="23">
        <v>25.34</v>
      </c>
      <c r="O10" s="34">
        <v>270.29212239798659</v>
      </c>
    </row>
    <row r="11" spans="1:15" x14ac:dyDescent="0.3">
      <c r="A11" s="21">
        <v>34628</v>
      </c>
      <c r="B11" s="10">
        <v>136</v>
      </c>
      <c r="C11" s="20">
        <v>4.42</v>
      </c>
      <c r="D11" s="2">
        <f t="shared" si="4"/>
        <v>124.02000000000001</v>
      </c>
      <c r="E11" s="16">
        <f t="shared" si="0"/>
        <v>128.44</v>
      </c>
      <c r="F11" s="8">
        <f t="shared" si="1"/>
        <v>34628</v>
      </c>
      <c r="G11" s="11" t="s">
        <v>13</v>
      </c>
      <c r="H11" s="22">
        <v>5</v>
      </c>
      <c r="I11" s="4">
        <f>96.22+26.6</f>
        <v>122.82</v>
      </c>
      <c r="J11" s="17">
        <f t="shared" si="2"/>
        <v>127.82</v>
      </c>
      <c r="K11" s="9">
        <f t="shared" si="3"/>
        <v>34628</v>
      </c>
      <c r="L11" s="12" t="s">
        <v>17</v>
      </c>
      <c r="M11" s="23">
        <v>9.59</v>
      </c>
      <c r="O11" s="34">
        <v>248.59204690653323</v>
      </c>
    </row>
    <row r="12" spans="1:15" x14ac:dyDescent="0.3">
      <c r="A12" s="21">
        <v>36720</v>
      </c>
      <c r="B12" s="10" t="s">
        <v>10</v>
      </c>
      <c r="C12" s="20">
        <v>105.42</v>
      </c>
      <c r="D12" s="2">
        <v>0</v>
      </c>
      <c r="E12" s="16">
        <f t="shared" si="0"/>
        <v>105.42</v>
      </c>
      <c r="F12" s="8">
        <f t="shared" si="1"/>
        <v>36720</v>
      </c>
      <c r="G12" s="11" t="s">
        <v>12</v>
      </c>
      <c r="H12" s="22">
        <v>91.26</v>
      </c>
      <c r="I12" s="4">
        <v>0</v>
      </c>
      <c r="J12" s="17">
        <v>91.26</v>
      </c>
      <c r="K12" s="9">
        <f t="shared" si="3"/>
        <v>36720</v>
      </c>
      <c r="L12" s="12">
        <v>140</v>
      </c>
      <c r="M12" s="23">
        <v>-77.790000000000006</v>
      </c>
      <c r="O12" s="34">
        <v>216.73981568639834</v>
      </c>
    </row>
    <row r="13" spans="1:15" x14ac:dyDescent="0.3">
      <c r="A13" s="21">
        <v>37087</v>
      </c>
      <c r="B13" s="10" t="s">
        <v>84</v>
      </c>
      <c r="C13" s="20">
        <v>30.74</v>
      </c>
      <c r="D13" s="2">
        <v>69.73</v>
      </c>
      <c r="E13" s="16">
        <f t="shared" si="0"/>
        <v>100.47</v>
      </c>
      <c r="F13" s="8">
        <f t="shared" si="1"/>
        <v>37087</v>
      </c>
      <c r="G13" s="11" t="s">
        <v>83</v>
      </c>
      <c r="H13" s="22">
        <v>41.41</v>
      </c>
      <c r="I13" s="22">
        <v>43.29</v>
      </c>
      <c r="J13" s="17">
        <f>I13+H13</f>
        <v>84.699999999999989</v>
      </c>
      <c r="K13" s="9">
        <f t="shared" si="3"/>
        <v>37087</v>
      </c>
      <c r="L13" s="12" t="s">
        <v>85</v>
      </c>
      <c r="M13" s="23">
        <v>32.5</v>
      </c>
      <c r="O13" s="34">
        <v>271.50204690653322</v>
      </c>
    </row>
    <row r="14" spans="1:15" x14ac:dyDescent="0.3">
      <c r="A14" s="21">
        <v>38555</v>
      </c>
      <c r="B14" s="10" t="s">
        <v>11</v>
      </c>
      <c r="C14" s="20">
        <v>12.46</v>
      </c>
      <c r="D14" s="2">
        <v>69.73</v>
      </c>
      <c r="E14" s="16">
        <f t="shared" si="0"/>
        <v>82.19</v>
      </c>
      <c r="F14" s="8">
        <f t="shared" si="1"/>
        <v>38555</v>
      </c>
      <c r="G14" s="11" t="s">
        <v>12</v>
      </c>
      <c r="H14" s="22">
        <v>53.9</v>
      </c>
      <c r="I14" s="4">
        <v>0</v>
      </c>
      <c r="J14" s="17">
        <v>53.9</v>
      </c>
      <c r="K14" s="9">
        <f t="shared" si="3"/>
        <v>38555</v>
      </c>
      <c r="M14" s="23"/>
      <c r="O14" s="34"/>
    </row>
    <row r="15" spans="1:15" x14ac:dyDescent="0.3">
      <c r="A15" s="21">
        <v>38640</v>
      </c>
      <c r="B15" s="10" t="s">
        <v>11</v>
      </c>
      <c r="C15" s="20">
        <v>12.42</v>
      </c>
      <c r="D15" s="2">
        <v>69.73</v>
      </c>
      <c r="E15" s="16">
        <f t="shared" si="0"/>
        <v>82.15</v>
      </c>
      <c r="F15" s="8">
        <f t="shared" si="1"/>
        <v>38640</v>
      </c>
      <c r="G15" s="11" t="s">
        <v>12</v>
      </c>
      <c r="H15" s="22">
        <v>52.25</v>
      </c>
      <c r="I15" s="4">
        <v>0</v>
      </c>
      <c r="J15" s="17">
        <v>52.25</v>
      </c>
      <c r="K15" s="9">
        <f t="shared" si="3"/>
        <v>38640</v>
      </c>
      <c r="L15" s="12" t="s">
        <v>86</v>
      </c>
      <c r="M15" s="23">
        <v>40.450000000000003</v>
      </c>
      <c r="O15" s="34">
        <v>180.44548040816096</v>
      </c>
    </row>
    <row r="16" spans="1:15" x14ac:dyDescent="0.3">
      <c r="A16" s="21">
        <v>38920</v>
      </c>
      <c r="B16" s="10" t="s">
        <v>11</v>
      </c>
      <c r="C16" s="20">
        <v>8.6</v>
      </c>
      <c r="D16" s="2">
        <v>69.73</v>
      </c>
      <c r="E16" s="16">
        <f t="shared" si="0"/>
        <v>78.33</v>
      </c>
      <c r="F16" s="8">
        <f t="shared" si="1"/>
        <v>38920</v>
      </c>
      <c r="G16" s="11" t="s">
        <v>12</v>
      </c>
      <c r="H16" s="22">
        <v>48.55</v>
      </c>
      <c r="I16" s="22">
        <v>0</v>
      </c>
      <c r="J16" s="17">
        <f>I16+H16</f>
        <v>48.55</v>
      </c>
      <c r="K16" s="9">
        <f t="shared" si="3"/>
        <v>38920</v>
      </c>
      <c r="L16" s="27" t="s">
        <v>18</v>
      </c>
      <c r="M16" s="23">
        <v>35.85</v>
      </c>
      <c r="N16" s="6">
        <v>139.99</v>
      </c>
      <c r="O16" s="34">
        <f>M16+N16</f>
        <v>175.84</v>
      </c>
    </row>
    <row r="17" spans="1:15" x14ac:dyDescent="0.3">
      <c r="A17" s="21">
        <v>38990</v>
      </c>
      <c r="B17" s="10" t="s">
        <v>11</v>
      </c>
      <c r="C17" s="20">
        <v>8.5299999999999994</v>
      </c>
      <c r="D17" s="2">
        <v>69.73</v>
      </c>
      <c r="E17" s="16">
        <f t="shared" si="0"/>
        <v>78.260000000000005</v>
      </c>
      <c r="F17" s="8">
        <f t="shared" si="1"/>
        <v>38990</v>
      </c>
      <c r="G17" s="11" t="s">
        <v>12</v>
      </c>
      <c r="H17" s="22">
        <v>48.19</v>
      </c>
      <c r="I17" s="22">
        <v>48.19</v>
      </c>
      <c r="J17" s="17">
        <v>48.19</v>
      </c>
      <c r="K17" s="9">
        <f t="shared" si="3"/>
        <v>38990</v>
      </c>
      <c r="L17" s="12" t="s">
        <v>18</v>
      </c>
      <c r="M17" s="23">
        <v>35.799999999999997</v>
      </c>
      <c r="N17" s="6">
        <v>139.99</v>
      </c>
      <c r="O17" s="34">
        <f>M17+N17</f>
        <v>175.79000000000002</v>
      </c>
    </row>
    <row r="18" spans="1:15" x14ac:dyDescent="0.3">
      <c r="A18" s="21">
        <v>40014</v>
      </c>
      <c r="B18" s="10" t="s">
        <v>62</v>
      </c>
      <c r="C18" s="2">
        <v>57.79</v>
      </c>
      <c r="D18" s="2">
        <v>0</v>
      </c>
      <c r="E18" s="16">
        <f t="shared" si="0"/>
        <v>57.79</v>
      </c>
      <c r="F18" s="8">
        <f t="shared" si="1"/>
        <v>40014</v>
      </c>
      <c r="G18" s="11" t="s">
        <v>63</v>
      </c>
      <c r="H18" s="22">
        <v>32.200000000000003</v>
      </c>
      <c r="I18" s="4">
        <v>0</v>
      </c>
      <c r="J18" s="17">
        <v>32.200000000000003</v>
      </c>
      <c r="K18" s="9">
        <f t="shared" si="3"/>
        <v>40014</v>
      </c>
      <c r="L18" s="12" t="s">
        <v>18</v>
      </c>
      <c r="M18" s="23">
        <v>6.91</v>
      </c>
      <c r="N18" s="6">
        <v>139.99</v>
      </c>
      <c r="O18" s="34">
        <f t="shared" ref="O18:O26" si="5">M18+N18</f>
        <v>146.9</v>
      </c>
    </row>
    <row r="19" spans="1:15" x14ac:dyDescent="0.3">
      <c r="A19" s="21">
        <v>40383</v>
      </c>
      <c r="B19" s="28" t="s">
        <v>107</v>
      </c>
      <c r="C19" s="2">
        <v>65.33</v>
      </c>
      <c r="D19" s="2">
        <v>0</v>
      </c>
      <c r="E19" s="1">
        <v>65.33</v>
      </c>
      <c r="F19" s="8">
        <f t="shared" si="1"/>
        <v>40383</v>
      </c>
      <c r="G19" s="11" t="s">
        <v>63</v>
      </c>
      <c r="H19" s="22">
        <v>29.91</v>
      </c>
      <c r="I19" s="4">
        <v>0</v>
      </c>
      <c r="J19" s="32">
        <v>29.91</v>
      </c>
      <c r="K19" s="9">
        <f t="shared" si="3"/>
        <v>40383</v>
      </c>
      <c r="L19" s="31" t="s">
        <v>18</v>
      </c>
      <c r="M19" s="6">
        <v>4.6399999999999997</v>
      </c>
      <c r="N19" s="6">
        <v>139.99</v>
      </c>
      <c r="O19" s="34">
        <f t="shared" si="5"/>
        <v>144.63</v>
      </c>
    </row>
    <row r="20" spans="1:15" x14ac:dyDescent="0.3">
      <c r="A20" s="21">
        <v>40800</v>
      </c>
      <c r="B20" s="10" t="s">
        <v>110</v>
      </c>
      <c r="C20" s="2">
        <v>65.489999999999995</v>
      </c>
      <c r="D20" s="2">
        <v>0</v>
      </c>
      <c r="E20" s="1">
        <v>65.489999999999995</v>
      </c>
      <c r="F20" s="8">
        <f t="shared" si="1"/>
        <v>40800</v>
      </c>
      <c r="G20" s="11" t="s">
        <v>63</v>
      </c>
      <c r="H20" s="4">
        <v>29.02</v>
      </c>
      <c r="I20" s="4">
        <v>0</v>
      </c>
      <c r="J20" s="32">
        <v>29.02</v>
      </c>
      <c r="K20" s="9">
        <f t="shared" si="3"/>
        <v>40800</v>
      </c>
      <c r="L20" s="31" t="s">
        <v>18</v>
      </c>
      <c r="M20" s="23">
        <v>4</v>
      </c>
      <c r="N20" s="6">
        <v>139.99</v>
      </c>
      <c r="O20" s="34">
        <f t="shared" si="5"/>
        <v>143.99</v>
      </c>
    </row>
    <row r="21" spans="1:15" x14ac:dyDescent="0.3">
      <c r="A21" s="21">
        <v>41198</v>
      </c>
      <c r="B21" s="10" t="s">
        <v>110</v>
      </c>
      <c r="C21" s="2">
        <v>64.52</v>
      </c>
      <c r="D21" s="2">
        <v>0</v>
      </c>
      <c r="E21" s="16">
        <f t="shared" ref="E21:E26" si="6">D21+C21</f>
        <v>64.52</v>
      </c>
      <c r="F21" s="8">
        <f t="shared" si="1"/>
        <v>41198</v>
      </c>
      <c r="G21" s="11" t="s">
        <v>63</v>
      </c>
      <c r="H21" s="22">
        <v>27.9</v>
      </c>
      <c r="I21" s="4">
        <v>0</v>
      </c>
      <c r="J21" s="17">
        <f>I21+H21</f>
        <v>27.9</v>
      </c>
      <c r="K21" s="9">
        <f t="shared" si="3"/>
        <v>41198</v>
      </c>
      <c r="L21" s="31" t="s">
        <v>18</v>
      </c>
      <c r="M21" s="6">
        <v>3.26</v>
      </c>
      <c r="N21" s="6">
        <v>139.99</v>
      </c>
      <c r="O21" s="34">
        <f t="shared" si="5"/>
        <v>143.25</v>
      </c>
    </row>
    <row r="22" spans="1:15" x14ac:dyDescent="0.3">
      <c r="A22" s="21">
        <v>41464</v>
      </c>
      <c r="B22" s="10" t="s">
        <v>110</v>
      </c>
      <c r="C22" s="2">
        <v>62.49</v>
      </c>
      <c r="D22" s="2">
        <v>0</v>
      </c>
      <c r="E22" s="16">
        <f t="shared" si="6"/>
        <v>62.49</v>
      </c>
      <c r="F22" s="8">
        <f t="shared" si="1"/>
        <v>41464</v>
      </c>
      <c r="G22" s="11" t="s">
        <v>63</v>
      </c>
      <c r="H22" s="4">
        <v>26.69</v>
      </c>
      <c r="I22" s="4">
        <v>0</v>
      </c>
      <c r="J22" s="17">
        <f>I22+H22</f>
        <v>26.69</v>
      </c>
      <c r="K22" s="9">
        <f t="shared" si="3"/>
        <v>41464</v>
      </c>
      <c r="L22" s="12" t="s">
        <v>14</v>
      </c>
      <c r="M22" s="6">
        <v>137.19999999999999</v>
      </c>
      <c r="N22" s="6">
        <v>0</v>
      </c>
      <c r="O22" s="34">
        <f t="shared" si="5"/>
        <v>137.19999999999999</v>
      </c>
    </row>
    <row r="23" spans="1:15" x14ac:dyDescent="0.3">
      <c r="A23" s="21">
        <v>42515</v>
      </c>
      <c r="B23" s="10" t="s">
        <v>110</v>
      </c>
      <c r="C23" s="20">
        <v>53.2</v>
      </c>
      <c r="D23" s="2">
        <v>0</v>
      </c>
      <c r="E23" s="16">
        <f t="shared" si="6"/>
        <v>53.2</v>
      </c>
      <c r="F23" s="8">
        <f t="shared" si="1"/>
        <v>42515</v>
      </c>
      <c r="G23" s="11" t="s">
        <v>63</v>
      </c>
      <c r="H23" s="4">
        <v>18.54</v>
      </c>
      <c r="I23" s="4">
        <v>0</v>
      </c>
      <c r="J23" s="17">
        <f>I23+H23</f>
        <v>18.54</v>
      </c>
      <c r="K23" s="9">
        <f t="shared" si="3"/>
        <v>42515</v>
      </c>
      <c r="L23" s="12" t="s">
        <v>14</v>
      </c>
      <c r="M23" s="6">
        <v>125.15</v>
      </c>
      <c r="N23" s="6">
        <v>0</v>
      </c>
      <c r="O23" s="33">
        <f t="shared" si="5"/>
        <v>125.15</v>
      </c>
    </row>
    <row r="24" spans="1:15" x14ac:dyDescent="0.3">
      <c r="A24" s="7">
        <v>43691</v>
      </c>
      <c r="B24" s="10" t="s">
        <v>110</v>
      </c>
      <c r="C24" s="20">
        <v>45.8</v>
      </c>
      <c r="D24" s="2">
        <v>0</v>
      </c>
      <c r="E24" s="16">
        <f t="shared" si="6"/>
        <v>45.8</v>
      </c>
      <c r="F24" s="8">
        <f t="shared" si="1"/>
        <v>43691</v>
      </c>
      <c r="G24" s="11" t="s">
        <v>63</v>
      </c>
      <c r="H24" s="4">
        <v>14.95</v>
      </c>
      <c r="I24" s="4">
        <v>0</v>
      </c>
      <c r="J24" s="17">
        <f>I24+H24</f>
        <v>14.95</v>
      </c>
      <c r="K24" s="9">
        <f t="shared" si="3"/>
        <v>43691</v>
      </c>
      <c r="L24" s="12" t="s">
        <v>14</v>
      </c>
      <c r="M24" s="23">
        <v>121.8</v>
      </c>
      <c r="N24" s="6">
        <v>0</v>
      </c>
      <c r="O24" s="34">
        <f t="shared" si="5"/>
        <v>121.8</v>
      </c>
    </row>
    <row r="25" spans="1:15" x14ac:dyDescent="0.3">
      <c r="A25" s="67">
        <v>44384</v>
      </c>
      <c r="B25" s="10" t="s">
        <v>110</v>
      </c>
      <c r="C25" s="136">
        <v>29</v>
      </c>
      <c r="D25" s="2">
        <v>0</v>
      </c>
      <c r="E25" s="137">
        <f t="shared" si="6"/>
        <v>29</v>
      </c>
      <c r="F25" s="8">
        <f t="shared" si="1"/>
        <v>44384</v>
      </c>
      <c r="G25" s="11" t="s">
        <v>63</v>
      </c>
      <c r="H25" s="4">
        <v>92.57</v>
      </c>
      <c r="I25" s="4">
        <v>-84.89</v>
      </c>
      <c r="J25" s="32">
        <f>I25+H25</f>
        <v>7.6799999999999926</v>
      </c>
      <c r="K25" s="9">
        <f t="shared" si="3"/>
        <v>44384</v>
      </c>
      <c r="L25" s="12" t="s">
        <v>14</v>
      </c>
      <c r="M25" s="6">
        <v>120.32</v>
      </c>
      <c r="N25" s="6">
        <v>0</v>
      </c>
      <c r="O25" s="34">
        <f t="shared" si="5"/>
        <v>120.32</v>
      </c>
    </row>
    <row r="26" spans="1:15" x14ac:dyDescent="0.3">
      <c r="A26" s="7">
        <v>45202</v>
      </c>
      <c r="B26" s="10" t="s">
        <v>110</v>
      </c>
      <c r="C26" s="2">
        <v>22.07</v>
      </c>
      <c r="D26" s="2">
        <v>0</v>
      </c>
      <c r="E26" s="16">
        <f t="shared" si="6"/>
        <v>22.07</v>
      </c>
      <c r="F26" s="8">
        <f t="shared" si="1"/>
        <v>45202</v>
      </c>
      <c r="G26" s="30" t="s">
        <v>170</v>
      </c>
      <c r="H26" s="22">
        <v>41.5</v>
      </c>
      <c r="I26" s="64">
        <v>49.42</v>
      </c>
      <c r="J26" s="50">
        <f>I26+H26+$I$25</f>
        <v>6.0300000000000011</v>
      </c>
      <c r="K26" s="9">
        <f t="shared" si="3"/>
        <v>45202</v>
      </c>
      <c r="L26" s="31" t="s">
        <v>171</v>
      </c>
      <c r="M26" s="6">
        <v>64.010000000000005</v>
      </c>
      <c r="N26" s="6">
        <v>54.88</v>
      </c>
      <c r="O26" s="34">
        <f t="shared" si="5"/>
        <v>118.89000000000001</v>
      </c>
    </row>
    <row r="27" spans="1:15" x14ac:dyDescent="0.3">
      <c r="F27" s="8" t="str">
        <f t="shared" si="1"/>
        <v/>
      </c>
      <c r="K27" s="9" t="str">
        <f t="shared" si="3"/>
        <v/>
      </c>
    </row>
    <row r="28" spans="1:15" x14ac:dyDescent="0.3">
      <c r="C28" s="20"/>
      <c r="F28" s="8" t="str">
        <f t="shared" si="1"/>
        <v/>
      </c>
      <c r="J28" s="22"/>
      <c r="K28" s="9" t="str">
        <f t="shared" si="3"/>
        <v/>
      </c>
    </row>
    <row r="29" spans="1:15" x14ac:dyDescent="0.3">
      <c r="C29" s="20"/>
      <c r="F29" s="8" t="str">
        <f t="shared" si="1"/>
        <v/>
      </c>
      <c r="K29" s="9" t="str">
        <f t="shared" si="3"/>
        <v/>
      </c>
      <c r="O29" s="23"/>
    </row>
    <row r="30" spans="1:15" x14ac:dyDescent="0.3">
      <c r="C30" s="20"/>
      <c r="F30" s="8" t="str">
        <f t="shared" si="1"/>
        <v/>
      </c>
      <c r="K30" s="9" t="str">
        <f t="shared" si="3"/>
        <v/>
      </c>
    </row>
    <row r="31" spans="1:15" x14ac:dyDescent="0.3">
      <c r="F31" s="8" t="str">
        <f t="shared" si="1"/>
        <v/>
      </c>
      <c r="K31" s="9" t="str">
        <f t="shared" si="3"/>
        <v/>
      </c>
    </row>
    <row r="32" spans="1:15" x14ac:dyDescent="0.3">
      <c r="F32" s="8" t="str">
        <f t="shared" si="1"/>
        <v/>
      </c>
      <c r="K32" s="9" t="str">
        <f t="shared" si="3"/>
        <v/>
      </c>
    </row>
    <row r="33" spans="6:11" x14ac:dyDescent="0.3">
      <c r="F33" s="8" t="str">
        <f t="shared" si="1"/>
        <v/>
      </c>
      <c r="K33" s="9" t="str">
        <f t="shared" si="3"/>
        <v/>
      </c>
    </row>
    <row r="34" spans="6:11" x14ac:dyDescent="0.3">
      <c r="F34" s="8" t="str">
        <f t="shared" si="1"/>
        <v/>
      </c>
      <c r="K34" s="9" t="str">
        <f t="shared" si="3"/>
        <v/>
      </c>
    </row>
    <row r="35" spans="6:11" x14ac:dyDescent="0.3">
      <c r="F35" s="8" t="str">
        <f t="shared" ref="F35:F66" si="7">IF(ISNUMBER(A35),A35,"")</f>
        <v/>
      </c>
      <c r="K35" s="9" t="str">
        <f t="shared" ref="K35:K71" si="8">IF(ISNUMBER(F35),F35,"")</f>
        <v/>
      </c>
    </row>
    <row r="36" spans="6:11" x14ac:dyDescent="0.3">
      <c r="F36" s="8" t="str">
        <f t="shared" si="7"/>
        <v/>
      </c>
      <c r="K36" s="9" t="str">
        <f t="shared" si="8"/>
        <v/>
      </c>
    </row>
    <row r="37" spans="6:11" x14ac:dyDescent="0.3">
      <c r="F37" s="8" t="str">
        <f t="shared" si="7"/>
        <v/>
      </c>
      <c r="K37" s="9" t="str">
        <f t="shared" si="8"/>
        <v/>
      </c>
    </row>
    <row r="38" spans="6:11" x14ac:dyDescent="0.3">
      <c r="F38" s="8" t="str">
        <f t="shared" si="7"/>
        <v/>
      </c>
      <c r="K38" s="9" t="str">
        <f t="shared" si="8"/>
        <v/>
      </c>
    </row>
    <row r="39" spans="6:11" x14ac:dyDescent="0.3">
      <c r="F39" s="8" t="str">
        <f t="shared" si="7"/>
        <v/>
      </c>
      <c r="K39" s="9" t="str">
        <f t="shared" si="8"/>
        <v/>
      </c>
    </row>
    <row r="40" spans="6:11" x14ac:dyDescent="0.3">
      <c r="F40" s="8" t="str">
        <f t="shared" si="7"/>
        <v/>
      </c>
      <c r="K40" s="9" t="str">
        <f t="shared" si="8"/>
        <v/>
      </c>
    </row>
    <row r="41" spans="6:11" x14ac:dyDescent="0.3">
      <c r="F41" s="8" t="str">
        <f t="shared" si="7"/>
        <v/>
      </c>
      <c r="K41" s="9" t="str">
        <f t="shared" si="8"/>
        <v/>
      </c>
    </row>
    <row r="42" spans="6:11" x14ac:dyDescent="0.3">
      <c r="F42" s="8" t="str">
        <f t="shared" si="7"/>
        <v/>
      </c>
      <c r="K42" s="9" t="str">
        <f t="shared" si="8"/>
        <v/>
      </c>
    </row>
    <row r="43" spans="6:11" x14ac:dyDescent="0.3">
      <c r="F43" s="8" t="str">
        <f t="shared" si="7"/>
        <v/>
      </c>
      <c r="K43" s="9" t="str">
        <f t="shared" si="8"/>
        <v/>
      </c>
    </row>
    <row r="44" spans="6:11" x14ac:dyDescent="0.3">
      <c r="F44" s="8" t="str">
        <f t="shared" si="7"/>
        <v/>
      </c>
      <c r="K44" s="9" t="str">
        <f t="shared" si="8"/>
        <v/>
      </c>
    </row>
    <row r="45" spans="6:11" x14ac:dyDescent="0.3">
      <c r="F45" s="8" t="str">
        <f t="shared" si="7"/>
        <v/>
      </c>
      <c r="K45" s="9" t="str">
        <f t="shared" si="8"/>
        <v/>
      </c>
    </row>
    <row r="46" spans="6:11" x14ac:dyDescent="0.3">
      <c r="F46" s="8" t="str">
        <f t="shared" si="7"/>
        <v/>
      </c>
      <c r="K46" s="9" t="str">
        <f t="shared" si="8"/>
        <v/>
      </c>
    </row>
    <row r="47" spans="6:11" x14ac:dyDescent="0.3">
      <c r="F47" s="8" t="str">
        <f t="shared" si="7"/>
        <v/>
      </c>
      <c r="K47" s="9" t="str">
        <f t="shared" si="8"/>
        <v/>
      </c>
    </row>
    <row r="48" spans="6:11" x14ac:dyDescent="0.3">
      <c r="F48" s="8" t="str">
        <f t="shared" si="7"/>
        <v/>
      </c>
      <c r="K48" s="9" t="str">
        <f t="shared" si="8"/>
        <v/>
      </c>
    </row>
    <row r="49" spans="6:11" x14ac:dyDescent="0.3">
      <c r="F49" s="8" t="str">
        <f t="shared" si="7"/>
        <v/>
      </c>
      <c r="K49" s="9" t="str">
        <f t="shared" si="8"/>
        <v/>
      </c>
    </row>
    <row r="50" spans="6:11" x14ac:dyDescent="0.3">
      <c r="F50" s="8" t="str">
        <f t="shared" si="7"/>
        <v/>
      </c>
      <c r="K50" s="9" t="str">
        <f t="shared" si="8"/>
        <v/>
      </c>
    </row>
    <row r="51" spans="6:11" x14ac:dyDescent="0.3">
      <c r="F51" s="8" t="str">
        <f t="shared" si="7"/>
        <v/>
      </c>
      <c r="K51" s="9" t="str">
        <f t="shared" si="8"/>
        <v/>
      </c>
    </row>
    <row r="52" spans="6:11" x14ac:dyDescent="0.3">
      <c r="F52" s="8" t="str">
        <f t="shared" si="7"/>
        <v/>
      </c>
      <c r="K52" s="9" t="str">
        <f t="shared" si="8"/>
        <v/>
      </c>
    </row>
    <row r="53" spans="6:11" x14ac:dyDescent="0.3">
      <c r="F53" s="8" t="str">
        <f t="shared" si="7"/>
        <v/>
      </c>
      <c r="K53" s="9" t="str">
        <f t="shared" si="8"/>
        <v/>
      </c>
    </row>
    <row r="54" spans="6:11" x14ac:dyDescent="0.3">
      <c r="F54" s="8" t="str">
        <f t="shared" si="7"/>
        <v/>
      </c>
      <c r="K54" s="9" t="str">
        <f t="shared" si="8"/>
        <v/>
      </c>
    </row>
    <row r="55" spans="6:11" x14ac:dyDescent="0.3">
      <c r="F55" s="8" t="str">
        <f t="shared" si="7"/>
        <v/>
      </c>
      <c r="K55" s="9" t="str">
        <f t="shared" si="8"/>
        <v/>
      </c>
    </row>
    <row r="56" spans="6:11" x14ac:dyDescent="0.3">
      <c r="F56" s="8" t="str">
        <f t="shared" si="7"/>
        <v/>
      </c>
      <c r="K56" s="9" t="str">
        <f t="shared" si="8"/>
        <v/>
      </c>
    </row>
    <row r="57" spans="6:11" x14ac:dyDescent="0.3">
      <c r="F57" s="8" t="str">
        <f t="shared" si="7"/>
        <v/>
      </c>
      <c r="K57" s="9" t="str">
        <f t="shared" si="8"/>
        <v/>
      </c>
    </row>
    <row r="58" spans="6:11" x14ac:dyDescent="0.3">
      <c r="F58" s="8" t="str">
        <f t="shared" si="7"/>
        <v/>
      </c>
      <c r="K58" s="9" t="str">
        <f t="shared" si="8"/>
        <v/>
      </c>
    </row>
    <row r="59" spans="6:11" x14ac:dyDescent="0.3">
      <c r="F59" s="8" t="str">
        <f t="shared" si="7"/>
        <v/>
      </c>
      <c r="K59" s="9" t="str">
        <f t="shared" si="8"/>
        <v/>
      </c>
    </row>
    <row r="60" spans="6:11" x14ac:dyDescent="0.3">
      <c r="F60" s="8" t="str">
        <f t="shared" si="7"/>
        <v/>
      </c>
      <c r="K60" s="9" t="str">
        <f t="shared" si="8"/>
        <v/>
      </c>
    </row>
    <row r="61" spans="6:11" x14ac:dyDescent="0.3">
      <c r="F61" s="8" t="str">
        <f t="shared" si="7"/>
        <v/>
      </c>
      <c r="K61" s="9" t="str">
        <f t="shared" si="8"/>
        <v/>
      </c>
    </row>
    <row r="62" spans="6:11" x14ac:dyDescent="0.3">
      <c r="F62" s="8" t="str">
        <f t="shared" si="7"/>
        <v/>
      </c>
      <c r="K62" s="9" t="str">
        <f t="shared" si="8"/>
        <v/>
      </c>
    </row>
    <row r="63" spans="6:11" x14ac:dyDescent="0.3">
      <c r="F63" s="8" t="str">
        <f t="shared" si="7"/>
        <v/>
      </c>
      <c r="K63" s="9" t="str">
        <f t="shared" si="8"/>
        <v/>
      </c>
    </row>
    <row r="64" spans="6:11" x14ac:dyDescent="0.3">
      <c r="F64" s="8" t="str">
        <f t="shared" si="7"/>
        <v/>
      </c>
      <c r="K64" s="9" t="str">
        <f t="shared" si="8"/>
        <v/>
      </c>
    </row>
    <row r="65" spans="6:11" x14ac:dyDescent="0.3">
      <c r="F65" s="8" t="str">
        <f t="shared" si="7"/>
        <v/>
      </c>
      <c r="K65" s="9" t="str">
        <f t="shared" si="8"/>
        <v/>
      </c>
    </row>
    <row r="66" spans="6:11" x14ac:dyDescent="0.3">
      <c r="F66" s="8" t="str">
        <f t="shared" si="7"/>
        <v/>
      </c>
      <c r="K66" s="9" t="str">
        <f t="shared" si="8"/>
        <v/>
      </c>
    </row>
    <row r="67" spans="6:11" x14ac:dyDescent="0.3">
      <c r="F67" s="8" t="str">
        <f t="shared" ref="F67:F80" si="9">IF(ISNUMBER(A67),A67,"")</f>
        <v/>
      </c>
      <c r="K67" s="9" t="str">
        <f t="shared" si="8"/>
        <v/>
      </c>
    </row>
    <row r="68" spans="6:11" x14ac:dyDescent="0.3">
      <c r="F68" s="8" t="str">
        <f t="shared" si="9"/>
        <v/>
      </c>
      <c r="K68" s="9" t="str">
        <f t="shared" si="8"/>
        <v/>
      </c>
    </row>
    <row r="69" spans="6:11" x14ac:dyDescent="0.3">
      <c r="F69" s="8" t="str">
        <f t="shared" si="9"/>
        <v/>
      </c>
      <c r="K69" s="9" t="str">
        <f t="shared" si="8"/>
        <v/>
      </c>
    </row>
    <row r="70" spans="6:11" x14ac:dyDescent="0.3">
      <c r="F70" s="8" t="str">
        <f t="shared" si="9"/>
        <v/>
      </c>
      <c r="K70" s="9" t="str">
        <f t="shared" si="8"/>
        <v/>
      </c>
    </row>
    <row r="71" spans="6:11" x14ac:dyDescent="0.3">
      <c r="F71" s="8" t="str">
        <f t="shared" si="9"/>
        <v/>
      </c>
      <c r="K71" s="9" t="str">
        <f t="shared" si="8"/>
        <v/>
      </c>
    </row>
    <row r="72" spans="6:11" x14ac:dyDescent="0.3">
      <c r="F72" s="8" t="str">
        <f t="shared" si="9"/>
        <v/>
      </c>
      <c r="K72" s="9" t="str">
        <f t="shared" ref="K72:K80" si="10">IF(ISNUMBER(F72),F72,"")</f>
        <v/>
      </c>
    </row>
    <row r="73" spans="6:11" x14ac:dyDescent="0.3">
      <c r="F73" s="8" t="str">
        <f t="shared" si="9"/>
        <v/>
      </c>
      <c r="K73" s="9" t="str">
        <f t="shared" si="10"/>
        <v/>
      </c>
    </row>
    <row r="74" spans="6:11" x14ac:dyDescent="0.3">
      <c r="F74" s="8" t="str">
        <f t="shared" si="9"/>
        <v/>
      </c>
      <c r="K74" s="9" t="str">
        <f t="shared" si="10"/>
        <v/>
      </c>
    </row>
    <row r="75" spans="6:11" x14ac:dyDescent="0.3">
      <c r="F75" s="8" t="str">
        <f t="shared" si="9"/>
        <v/>
      </c>
      <c r="K75" s="9" t="str">
        <f t="shared" si="10"/>
        <v/>
      </c>
    </row>
    <row r="76" spans="6:11" x14ac:dyDescent="0.3">
      <c r="F76" s="8" t="str">
        <f t="shared" si="9"/>
        <v/>
      </c>
      <c r="K76" s="9" t="str">
        <f t="shared" si="10"/>
        <v/>
      </c>
    </row>
    <row r="77" spans="6:11" x14ac:dyDescent="0.3">
      <c r="F77" s="8" t="str">
        <f t="shared" si="9"/>
        <v/>
      </c>
      <c r="K77" s="9" t="str">
        <f t="shared" si="10"/>
        <v/>
      </c>
    </row>
    <row r="78" spans="6:11" x14ac:dyDescent="0.3">
      <c r="F78" s="8" t="str">
        <f t="shared" si="9"/>
        <v/>
      </c>
      <c r="K78" s="9" t="str">
        <f t="shared" si="10"/>
        <v/>
      </c>
    </row>
    <row r="79" spans="6:11" x14ac:dyDescent="0.3">
      <c r="F79" s="8" t="str">
        <f t="shared" si="9"/>
        <v/>
      </c>
      <c r="K79" s="9" t="str">
        <f t="shared" si="10"/>
        <v/>
      </c>
    </row>
    <row r="80" spans="6:11" x14ac:dyDescent="0.3">
      <c r="F80" s="8" t="str">
        <f t="shared" si="9"/>
        <v/>
      </c>
      <c r="K80" s="9" t="str">
        <f t="shared" si="10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workbookViewId="0">
      <selection activeCell="H17" sqref="H17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9.17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</cols>
  <sheetData>
    <row r="1" spans="1:16" x14ac:dyDescent="0.3">
      <c r="A1" s="1" t="s">
        <v>19</v>
      </c>
      <c r="F1" s="3" t="s">
        <v>20</v>
      </c>
      <c r="K1" s="5" t="s">
        <v>21</v>
      </c>
      <c r="P1" t="s">
        <v>94</v>
      </c>
    </row>
    <row r="2" spans="1:16" s="80" customFormat="1" ht="23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6" x14ac:dyDescent="0.3">
      <c r="A3" s="7">
        <v>31958</v>
      </c>
      <c r="B3" s="10" t="s">
        <v>22</v>
      </c>
      <c r="C3" s="20">
        <v>1.3</v>
      </c>
      <c r="D3" s="2">
        <f>57.88+23.67</f>
        <v>81.550000000000011</v>
      </c>
      <c r="E3" s="16">
        <f t="shared" ref="E3:E27" si="0">D3+C3</f>
        <v>82.850000000000009</v>
      </c>
      <c r="F3" s="8">
        <f t="shared" ref="F3:F34" si="1">IF(ISNUMBER(A3),A3,"")</f>
        <v>31958</v>
      </c>
      <c r="G3" s="11" t="s">
        <v>23</v>
      </c>
      <c r="H3" s="22">
        <v>2</v>
      </c>
      <c r="I3" s="4">
        <f>53.48+23</f>
        <v>76.47999999999999</v>
      </c>
      <c r="J3" s="3">
        <f t="shared" ref="J3:J27" si="2">I3+H3</f>
        <v>78.47999999999999</v>
      </c>
      <c r="K3" s="9">
        <f t="shared" ref="K3:K34" si="3">IF(ISNUMBER(F3),F3,"")</f>
        <v>31958</v>
      </c>
      <c r="L3" s="12" t="s">
        <v>25</v>
      </c>
      <c r="M3" s="23">
        <v>2.2000000000000002</v>
      </c>
      <c r="N3" s="6">
        <f>55.2+18.8</f>
        <v>74</v>
      </c>
      <c r="O3" s="18">
        <f t="shared" ref="O3:O21" si="4">N3+M3</f>
        <v>76.2</v>
      </c>
    </row>
    <row r="4" spans="1:16" x14ac:dyDescent="0.3">
      <c r="A4" s="7">
        <v>33021</v>
      </c>
      <c r="B4" s="10" t="s">
        <v>22</v>
      </c>
      <c r="C4" s="20">
        <v>0.61</v>
      </c>
      <c r="D4" s="2">
        <f>57.88+23.67</f>
        <v>81.550000000000011</v>
      </c>
      <c r="E4" s="16">
        <f t="shared" si="0"/>
        <v>82.160000000000011</v>
      </c>
      <c r="F4" s="8">
        <f t="shared" si="1"/>
        <v>33021</v>
      </c>
      <c r="G4" s="11">
        <v>2</v>
      </c>
      <c r="H4" s="22">
        <v>22.55</v>
      </c>
      <c r="I4" s="4">
        <f>53.48</f>
        <v>53.48</v>
      </c>
      <c r="J4" s="3">
        <f t="shared" si="2"/>
        <v>76.03</v>
      </c>
      <c r="K4" s="9">
        <f t="shared" si="3"/>
        <v>33021</v>
      </c>
      <c r="L4" s="12">
        <v>3</v>
      </c>
      <c r="M4" s="23">
        <v>17.54</v>
      </c>
      <c r="N4" s="6">
        <v>55.2</v>
      </c>
      <c r="O4" s="18">
        <f t="shared" si="4"/>
        <v>72.740000000000009</v>
      </c>
    </row>
    <row r="5" spans="1:16" x14ac:dyDescent="0.3">
      <c r="A5" s="7">
        <v>34899</v>
      </c>
      <c r="B5" s="10">
        <v>1</v>
      </c>
      <c r="C5" s="20">
        <v>16.5</v>
      </c>
      <c r="D5" s="2">
        <v>57.88</v>
      </c>
      <c r="E5" s="16">
        <f t="shared" si="0"/>
        <v>74.38</v>
      </c>
      <c r="F5" s="8">
        <f t="shared" si="1"/>
        <v>34899</v>
      </c>
      <c r="G5" s="11">
        <v>2</v>
      </c>
      <c r="H5" s="22">
        <v>15.8</v>
      </c>
      <c r="I5" s="4">
        <f>53.48</f>
        <v>53.48</v>
      </c>
      <c r="J5" s="3">
        <f t="shared" si="2"/>
        <v>69.28</v>
      </c>
      <c r="K5" s="9">
        <f t="shared" si="3"/>
        <v>34899</v>
      </c>
      <c r="L5" s="12">
        <v>3</v>
      </c>
      <c r="M5" s="23">
        <v>8.17</v>
      </c>
      <c r="N5" s="6">
        <v>55.2</v>
      </c>
      <c r="O5" s="18">
        <f t="shared" si="4"/>
        <v>63.370000000000005</v>
      </c>
    </row>
    <row r="6" spans="1:16" x14ac:dyDescent="0.3">
      <c r="A6" s="7">
        <v>36722</v>
      </c>
      <c r="B6" s="10">
        <v>1</v>
      </c>
      <c r="C6" s="20">
        <v>12.24</v>
      </c>
      <c r="D6" s="2">
        <v>57.88</v>
      </c>
      <c r="E6" s="16">
        <f t="shared" si="0"/>
        <v>70.12</v>
      </c>
      <c r="F6" s="8">
        <f t="shared" si="1"/>
        <v>36722</v>
      </c>
      <c r="G6" s="11">
        <v>2</v>
      </c>
      <c r="H6" s="22">
        <v>11.43</v>
      </c>
      <c r="I6" s="4">
        <f>53.48</f>
        <v>53.48</v>
      </c>
      <c r="J6" s="3">
        <f t="shared" si="2"/>
        <v>64.91</v>
      </c>
      <c r="K6" s="9">
        <f t="shared" si="3"/>
        <v>36722</v>
      </c>
      <c r="L6" s="12">
        <v>3</v>
      </c>
      <c r="M6" s="23">
        <v>2.57</v>
      </c>
      <c r="N6" s="6">
        <v>55.2</v>
      </c>
      <c r="O6" s="18">
        <f t="shared" si="4"/>
        <v>57.77</v>
      </c>
    </row>
    <row r="7" spans="1:16" x14ac:dyDescent="0.3">
      <c r="A7" s="7">
        <v>37082</v>
      </c>
      <c r="B7" s="10">
        <v>1</v>
      </c>
      <c r="C7" s="20">
        <v>11.52</v>
      </c>
      <c r="D7" s="2">
        <v>57.88</v>
      </c>
      <c r="E7" s="16">
        <f t="shared" si="0"/>
        <v>69.400000000000006</v>
      </c>
      <c r="F7" s="8">
        <f t="shared" si="1"/>
        <v>37082</v>
      </c>
      <c r="G7" s="11">
        <v>2</v>
      </c>
      <c r="H7" s="22">
        <v>7.55</v>
      </c>
      <c r="I7" s="4">
        <f>53.48</f>
        <v>53.48</v>
      </c>
      <c r="J7" s="3">
        <f t="shared" si="2"/>
        <v>61.029999999999994</v>
      </c>
      <c r="K7" s="9">
        <f t="shared" si="3"/>
        <v>37082</v>
      </c>
      <c r="L7" s="12">
        <v>3</v>
      </c>
      <c r="M7" s="23">
        <v>0.95</v>
      </c>
      <c r="N7" s="6">
        <v>55.2</v>
      </c>
      <c r="O7" s="18">
        <f t="shared" si="4"/>
        <v>56.150000000000006</v>
      </c>
    </row>
    <row r="8" spans="1:16" x14ac:dyDescent="0.3">
      <c r="A8" s="7">
        <v>37819</v>
      </c>
      <c r="B8" s="10">
        <v>1</v>
      </c>
      <c r="C8" s="20">
        <v>8.5</v>
      </c>
      <c r="D8" s="2">
        <v>57.88</v>
      </c>
      <c r="E8" s="16">
        <f t="shared" si="0"/>
        <v>66.38</v>
      </c>
      <c r="F8" s="8">
        <f t="shared" si="1"/>
        <v>37819</v>
      </c>
      <c r="G8" s="11">
        <v>2</v>
      </c>
      <c r="H8" s="22">
        <v>4.9000000000000004</v>
      </c>
      <c r="I8" s="4">
        <f>53.48</f>
        <v>53.48</v>
      </c>
      <c r="J8" s="3">
        <f t="shared" si="2"/>
        <v>58.379999999999995</v>
      </c>
      <c r="K8" s="9">
        <f t="shared" si="3"/>
        <v>37819</v>
      </c>
      <c r="L8" s="12">
        <v>30</v>
      </c>
      <c r="M8" s="23">
        <v>53.4</v>
      </c>
      <c r="N8" s="6">
        <v>0</v>
      </c>
      <c r="O8" s="18">
        <f t="shared" si="4"/>
        <v>53.4</v>
      </c>
    </row>
    <row r="9" spans="1:16" x14ac:dyDescent="0.3">
      <c r="A9" s="7">
        <v>38189</v>
      </c>
      <c r="B9" s="10">
        <v>1</v>
      </c>
      <c r="C9" s="20">
        <v>7.52</v>
      </c>
      <c r="D9" s="2">
        <v>57.88</v>
      </c>
      <c r="E9" s="16">
        <f t="shared" si="0"/>
        <v>65.400000000000006</v>
      </c>
      <c r="F9" s="8">
        <f t="shared" si="1"/>
        <v>38189</v>
      </c>
      <c r="G9" s="11">
        <v>20</v>
      </c>
      <c r="H9" s="22">
        <v>56.56</v>
      </c>
      <c r="I9" s="4">
        <v>0</v>
      </c>
      <c r="J9" s="3">
        <f t="shared" si="2"/>
        <v>56.56</v>
      </c>
      <c r="K9" s="9">
        <f t="shared" si="3"/>
        <v>38189</v>
      </c>
      <c r="L9" s="12">
        <v>30</v>
      </c>
      <c r="M9" s="23">
        <v>51.28</v>
      </c>
      <c r="N9" s="6">
        <v>0</v>
      </c>
      <c r="O9" s="18">
        <f t="shared" si="4"/>
        <v>51.28</v>
      </c>
    </row>
    <row r="10" spans="1:16" x14ac:dyDescent="0.3">
      <c r="A10" s="7">
        <v>38551</v>
      </c>
      <c r="B10" s="10">
        <v>1</v>
      </c>
      <c r="C10" s="20">
        <v>7.29</v>
      </c>
      <c r="D10" s="2">
        <v>57.88</v>
      </c>
      <c r="E10" s="16">
        <f t="shared" si="0"/>
        <v>65.17</v>
      </c>
      <c r="F10" s="8">
        <f t="shared" si="1"/>
        <v>38551</v>
      </c>
      <c r="G10" s="11">
        <v>20</v>
      </c>
      <c r="H10" s="22">
        <v>56.01</v>
      </c>
      <c r="I10" s="4">
        <v>0</v>
      </c>
      <c r="J10" s="3">
        <f t="shared" si="2"/>
        <v>56.01</v>
      </c>
      <c r="K10" s="9">
        <f t="shared" si="3"/>
        <v>38551</v>
      </c>
      <c r="L10" s="12">
        <v>31</v>
      </c>
      <c r="M10" s="23">
        <v>50.92</v>
      </c>
      <c r="N10" s="6">
        <v>0</v>
      </c>
      <c r="O10" s="18">
        <f t="shared" si="4"/>
        <v>50.92</v>
      </c>
    </row>
    <row r="11" spans="1:16" x14ac:dyDescent="0.3">
      <c r="A11" s="7">
        <v>38926</v>
      </c>
      <c r="B11" s="10">
        <v>1</v>
      </c>
      <c r="C11" s="20">
        <v>5.48</v>
      </c>
      <c r="D11" s="2">
        <v>57.88</v>
      </c>
      <c r="E11" s="16">
        <f t="shared" si="0"/>
        <v>63.36</v>
      </c>
      <c r="F11" s="8">
        <f t="shared" si="1"/>
        <v>38926</v>
      </c>
      <c r="G11" s="11">
        <v>20</v>
      </c>
      <c r="H11" s="22">
        <v>53.13</v>
      </c>
      <c r="I11" s="4">
        <v>0</v>
      </c>
      <c r="J11" s="3">
        <f t="shared" si="2"/>
        <v>53.13</v>
      </c>
      <c r="K11" s="9">
        <f t="shared" si="3"/>
        <v>38926</v>
      </c>
      <c r="L11" s="12">
        <v>31</v>
      </c>
      <c r="M11" s="23">
        <v>49.33</v>
      </c>
      <c r="N11" s="6">
        <v>0</v>
      </c>
      <c r="O11" s="18">
        <f t="shared" si="4"/>
        <v>49.33</v>
      </c>
    </row>
    <row r="12" spans="1:16" x14ac:dyDescent="0.3">
      <c r="A12" s="7">
        <v>38992</v>
      </c>
      <c r="B12" s="10">
        <v>1</v>
      </c>
      <c r="C12" s="20">
        <v>5.39</v>
      </c>
      <c r="D12" s="2">
        <v>57.88</v>
      </c>
      <c r="E12" s="16">
        <f t="shared" si="0"/>
        <v>63.27</v>
      </c>
      <c r="F12" s="8">
        <f t="shared" si="1"/>
        <v>38992</v>
      </c>
      <c r="G12" s="11" t="s">
        <v>24</v>
      </c>
      <c r="H12" s="22">
        <v>19.79</v>
      </c>
      <c r="I12" s="4">
        <v>33.619999999999997</v>
      </c>
      <c r="J12" s="3">
        <f t="shared" si="2"/>
        <v>53.41</v>
      </c>
      <c r="K12" s="9">
        <f t="shared" si="3"/>
        <v>38992</v>
      </c>
      <c r="L12" s="12">
        <v>31</v>
      </c>
      <c r="M12" s="23">
        <v>49.37</v>
      </c>
      <c r="N12" s="6">
        <v>0</v>
      </c>
      <c r="O12" s="18">
        <f t="shared" si="4"/>
        <v>49.37</v>
      </c>
    </row>
    <row r="13" spans="1:16" x14ac:dyDescent="0.3">
      <c r="A13" s="7">
        <v>39774</v>
      </c>
      <c r="B13" s="10">
        <v>1</v>
      </c>
      <c r="C13" s="20">
        <v>2.78</v>
      </c>
      <c r="D13" s="2">
        <v>57.88</v>
      </c>
      <c r="E13" s="16">
        <f t="shared" si="0"/>
        <v>60.660000000000004</v>
      </c>
      <c r="F13" s="8">
        <f t="shared" si="1"/>
        <v>39774</v>
      </c>
      <c r="G13" s="11" t="s">
        <v>24</v>
      </c>
      <c r="H13" s="22">
        <v>16.07</v>
      </c>
      <c r="I13" s="4">
        <v>33.619999999999997</v>
      </c>
      <c r="J13" s="3">
        <f t="shared" si="2"/>
        <v>49.69</v>
      </c>
      <c r="K13" s="9">
        <f t="shared" si="3"/>
        <v>39774</v>
      </c>
      <c r="L13" s="12">
        <v>31</v>
      </c>
      <c r="M13" s="23">
        <v>46.57</v>
      </c>
      <c r="N13" s="6">
        <v>0</v>
      </c>
      <c r="O13" s="18">
        <f t="shared" si="4"/>
        <v>46.57</v>
      </c>
    </row>
    <row r="14" spans="1:16" x14ac:dyDescent="0.3">
      <c r="A14" s="7">
        <v>40011</v>
      </c>
      <c r="B14" s="10">
        <v>1</v>
      </c>
      <c r="C14" s="20">
        <v>2.9</v>
      </c>
      <c r="D14" s="2">
        <v>57.88</v>
      </c>
      <c r="E14" s="1">
        <f t="shared" si="0"/>
        <v>60.78</v>
      </c>
      <c r="F14" s="8">
        <f t="shared" si="1"/>
        <v>40011</v>
      </c>
      <c r="G14" s="11" t="s">
        <v>24</v>
      </c>
      <c r="H14" s="22">
        <v>15.4</v>
      </c>
      <c r="I14" s="4">
        <v>33.619999999999997</v>
      </c>
      <c r="J14" s="3">
        <f t="shared" si="2"/>
        <v>49.019999999999996</v>
      </c>
      <c r="K14" s="9">
        <f t="shared" si="3"/>
        <v>40011</v>
      </c>
      <c r="L14" s="12">
        <v>31</v>
      </c>
      <c r="M14" s="23">
        <v>46.6</v>
      </c>
      <c r="N14" s="6">
        <v>0</v>
      </c>
      <c r="O14" s="18">
        <f t="shared" si="4"/>
        <v>46.6</v>
      </c>
    </row>
    <row r="15" spans="1:16" x14ac:dyDescent="0.3">
      <c r="A15" s="7">
        <v>40087</v>
      </c>
      <c r="B15" s="10">
        <v>1</v>
      </c>
      <c r="C15" s="2">
        <v>1.72</v>
      </c>
      <c r="D15" s="2">
        <v>57.88</v>
      </c>
      <c r="E15" s="16">
        <f t="shared" si="0"/>
        <v>59.6</v>
      </c>
      <c r="F15" s="8">
        <f t="shared" si="1"/>
        <v>40087</v>
      </c>
      <c r="G15" s="11" t="s">
        <v>95</v>
      </c>
      <c r="H15" s="22">
        <v>15</v>
      </c>
      <c r="I15" s="4">
        <v>33.619999999999997</v>
      </c>
      <c r="J15" s="32">
        <f t="shared" si="2"/>
        <v>48.62</v>
      </c>
      <c r="K15" s="9">
        <f t="shared" si="3"/>
        <v>40087</v>
      </c>
      <c r="L15" s="12">
        <v>31</v>
      </c>
      <c r="M15" s="23">
        <v>46</v>
      </c>
      <c r="N15" s="6">
        <v>0</v>
      </c>
      <c r="O15" s="34">
        <f t="shared" si="4"/>
        <v>46</v>
      </c>
      <c r="P15" s="35" t="s">
        <v>96</v>
      </c>
    </row>
    <row r="16" spans="1:16" x14ac:dyDescent="0.3">
      <c r="A16" s="7">
        <v>40381</v>
      </c>
      <c r="B16" s="10">
        <v>10</v>
      </c>
      <c r="C16" s="2">
        <v>59.54</v>
      </c>
      <c r="D16" s="2">
        <v>0</v>
      </c>
      <c r="E16" s="1">
        <f t="shared" si="0"/>
        <v>59.54</v>
      </c>
      <c r="F16" s="8">
        <f t="shared" si="1"/>
        <v>40381</v>
      </c>
      <c r="G16" s="11" t="s">
        <v>95</v>
      </c>
      <c r="H16" s="22">
        <v>14.68</v>
      </c>
      <c r="I16" s="4">
        <v>33.619999999999997</v>
      </c>
      <c r="J16" s="50">
        <f t="shared" si="2"/>
        <v>48.3</v>
      </c>
      <c r="K16" s="9">
        <f t="shared" si="3"/>
        <v>40381</v>
      </c>
      <c r="L16" s="12">
        <v>31</v>
      </c>
      <c r="M16" s="23">
        <v>44.72</v>
      </c>
      <c r="N16" s="6">
        <v>0</v>
      </c>
      <c r="O16" s="34">
        <f t="shared" si="4"/>
        <v>44.72</v>
      </c>
    </row>
    <row r="17" spans="1:16" x14ac:dyDescent="0.3">
      <c r="A17" s="7">
        <v>40737</v>
      </c>
      <c r="B17" s="10">
        <v>11</v>
      </c>
      <c r="C17" s="2">
        <v>33.479999999999997</v>
      </c>
      <c r="D17" s="2">
        <v>25.36</v>
      </c>
      <c r="E17" s="1">
        <f t="shared" si="0"/>
        <v>58.839999999999996</v>
      </c>
      <c r="F17" s="8">
        <f t="shared" si="1"/>
        <v>40737</v>
      </c>
      <c r="G17" s="30" t="s">
        <v>95</v>
      </c>
      <c r="H17" s="22">
        <v>14.6</v>
      </c>
      <c r="I17" s="4">
        <v>33.619999999999997</v>
      </c>
      <c r="J17" s="32">
        <f t="shared" si="2"/>
        <v>48.22</v>
      </c>
      <c r="K17" s="9">
        <f t="shared" si="3"/>
        <v>40737</v>
      </c>
      <c r="L17" s="12">
        <v>31</v>
      </c>
      <c r="M17" s="23">
        <v>44.7</v>
      </c>
      <c r="N17" s="6">
        <v>0</v>
      </c>
      <c r="O17" s="34">
        <f t="shared" si="4"/>
        <v>44.7</v>
      </c>
      <c r="P17" s="35" t="s">
        <v>109</v>
      </c>
    </row>
    <row r="18" spans="1:16" x14ac:dyDescent="0.3">
      <c r="A18" s="7">
        <v>41177</v>
      </c>
      <c r="B18" s="10">
        <v>11</v>
      </c>
      <c r="C18" s="2">
        <v>33.28</v>
      </c>
      <c r="D18" s="2">
        <v>25.36</v>
      </c>
      <c r="E18" s="1">
        <f t="shared" si="0"/>
        <v>58.64</v>
      </c>
      <c r="F18" s="8">
        <f t="shared" si="1"/>
        <v>41177</v>
      </c>
      <c r="G18" s="30" t="s">
        <v>95</v>
      </c>
      <c r="H18" s="22">
        <v>14.6</v>
      </c>
      <c r="I18" s="4">
        <v>33.619999999999997</v>
      </c>
      <c r="J18" s="32">
        <f t="shared" si="2"/>
        <v>48.22</v>
      </c>
      <c r="K18" s="9">
        <f t="shared" si="3"/>
        <v>41177</v>
      </c>
      <c r="L18" s="12">
        <v>31</v>
      </c>
      <c r="M18" s="23">
        <v>44.03</v>
      </c>
      <c r="N18" s="6">
        <v>0</v>
      </c>
      <c r="O18" s="34">
        <f t="shared" si="4"/>
        <v>44.03</v>
      </c>
      <c r="P18" s="29" t="s">
        <v>115</v>
      </c>
    </row>
    <row r="19" spans="1:16" x14ac:dyDescent="0.3">
      <c r="A19" s="7">
        <v>41467</v>
      </c>
      <c r="B19" s="10">
        <v>11</v>
      </c>
      <c r="C19" s="2">
        <v>32.74</v>
      </c>
      <c r="D19" s="2">
        <v>25.33</v>
      </c>
      <c r="E19" s="1">
        <f t="shared" si="0"/>
        <v>58.07</v>
      </c>
      <c r="F19" s="8">
        <f t="shared" si="1"/>
        <v>41467</v>
      </c>
      <c r="G19" s="30" t="s">
        <v>95</v>
      </c>
      <c r="H19" s="22">
        <v>13.72</v>
      </c>
      <c r="I19" s="4">
        <v>33.619999999999997</v>
      </c>
      <c r="J19" s="32">
        <f t="shared" si="2"/>
        <v>47.339999999999996</v>
      </c>
      <c r="K19" s="9">
        <f t="shared" si="3"/>
        <v>41467</v>
      </c>
      <c r="L19" s="12">
        <v>31</v>
      </c>
      <c r="M19" s="23">
        <v>44</v>
      </c>
      <c r="N19" s="6">
        <v>0</v>
      </c>
      <c r="O19" s="34">
        <f t="shared" si="4"/>
        <v>44</v>
      </c>
      <c r="P19" s="29" t="s">
        <v>120</v>
      </c>
    </row>
    <row r="20" spans="1:16" x14ac:dyDescent="0.3">
      <c r="A20" s="7">
        <v>41829</v>
      </c>
      <c r="B20" s="10" t="s">
        <v>130</v>
      </c>
      <c r="C20" s="2">
        <v>29.83</v>
      </c>
      <c r="D20" s="2">
        <v>25.36</v>
      </c>
      <c r="E20" s="1">
        <f t="shared" si="0"/>
        <v>55.19</v>
      </c>
      <c r="F20" s="8">
        <f t="shared" si="1"/>
        <v>41829</v>
      </c>
      <c r="G20" s="30" t="s">
        <v>95</v>
      </c>
      <c r="H20" s="22">
        <v>11.24</v>
      </c>
      <c r="I20" s="4">
        <v>33.619999999999997</v>
      </c>
      <c r="J20" s="50">
        <f t="shared" si="2"/>
        <v>44.86</v>
      </c>
      <c r="K20" s="9">
        <f t="shared" si="3"/>
        <v>41829</v>
      </c>
      <c r="L20" s="12">
        <v>31</v>
      </c>
      <c r="M20" s="23">
        <v>43.76</v>
      </c>
      <c r="N20" s="6">
        <v>0</v>
      </c>
      <c r="O20" s="34">
        <f t="shared" si="4"/>
        <v>43.76</v>
      </c>
      <c r="P20" s="54" t="s">
        <v>125</v>
      </c>
    </row>
    <row r="21" spans="1:16" x14ac:dyDescent="0.3">
      <c r="A21" s="7">
        <v>42199</v>
      </c>
      <c r="B21" s="10" t="s">
        <v>130</v>
      </c>
      <c r="C21" s="2">
        <v>29.43</v>
      </c>
      <c r="D21" s="2">
        <v>25.36</v>
      </c>
      <c r="E21" s="1">
        <f t="shared" si="0"/>
        <v>54.79</v>
      </c>
      <c r="F21" s="8">
        <f t="shared" si="1"/>
        <v>42199</v>
      </c>
      <c r="G21" s="30" t="s">
        <v>95</v>
      </c>
      <c r="H21" s="22">
        <v>10.8</v>
      </c>
      <c r="I21" s="4">
        <v>33.619999999999997</v>
      </c>
      <c r="J21" s="50">
        <f t="shared" si="2"/>
        <v>44.42</v>
      </c>
      <c r="K21" s="9">
        <f t="shared" si="3"/>
        <v>42199</v>
      </c>
      <c r="L21" s="12">
        <v>31</v>
      </c>
      <c r="M21" s="23">
        <v>43.69</v>
      </c>
      <c r="N21" s="6">
        <v>0</v>
      </c>
      <c r="O21" s="34">
        <f t="shared" si="4"/>
        <v>43.69</v>
      </c>
    </row>
    <row r="22" spans="1:16" x14ac:dyDescent="0.3">
      <c r="A22" s="7">
        <v>42656</v>
      </c>
      <c r="B22" s="10" t="s">
        <v>130</v>
      </c>
      <c r="C22" s="2">
        <v>29.1</v>
      </c>
      <c r="D22" s="2">
        <v>25.36</v>
      </c>
      <c r="E22" s="1">
        <f t="shared" si="0"/>
        <v>54.46</v>
      </c>
      <c r="F22" s="8">
        <f t="shared" si="1"/>
        <v>42656</v>
      </c>
      <c r="G22" s="30" t="s">
        <v>95</v>
      </c>
      <c r="H22" s="22">
        <v>10.01</v>
      </c>
      <c r="I22" s="4">
        <v>33.619999999999997</v>
      </c>
      <c r="J22" s="50">
        <f t="shared" si="2"/>
        <v>43.629999999999995</v>
      </c>
      <c r="K22" s="9">
        <f t="shared" si="3"/>
        <v>42656</v>
      </c>
      <c r="L22" s="12" t="s">
        <v>97</v>
      </c>
      <c r="M22" s="23"/>
      <c r="O22" s="34"/>
      <c r="P22" t="s">
        <v>142</v>
      </c>
    </row>
    <row r="23" spans="1:16" x14ac:dyDescent="0.3">
      <c r="A23" s="7">
        <v>42906</v>
      </c>
      <c r="B23" s="10" t="s">
        <v>130</v>
      </c>
      <c r="C23" s="2">
        <v>27.54</v>
      </c>
      <c r="D23" s="2">
        <v>25.36</v>
      </c>
      <c r="E23" s="16">
        <f t="shared" si="0"/>
        <v>52.9</v>
      </c>
      <c r="F23" s="8">
        <f t="shared" si="1"/>
        <v>42906</v>
      </c>
      <c r="G23" s="30" t="s">
        <v>95</v>
      </c>
      <c r="H23" s="22">
        <v>7.79</v>
      </c>
      <c r="I23" s="4">
        <v>33.619999999999997</v>
      </c>
      <c r="J23" s="50">
        <f t="shared" si="2"/>
        <v>41.41</v>
      </c>
      <c r="K23" s="9">
        <f t="shared" si="3"/>
        <v>42906</v>
      </c>
      <c r="L23" s="12">
        <v>31</v>
      </c>
      <c r="M23" s="6">
        <v>43.54</v>
      </c>
      <c r="N23" s="6">
        <v>0</v>
      </c>
      <c r="O23" s="34">
        <f>N23+M23</f>
        <v>43.54</v>
      </c>
    </row>
    <row r="24" spans="1:16" x14ac:dyDescent="0.3">
      <c r="A24" s="7">
        <v>43746</v>
      </c>
      <c r="B24" s="10" t="s">
        <v>130</v>
      </c>
      <c r="C24" s="135">
        <v>26.45</v>
      </c>
      <c r="D24" s="2">
        <v>25.36</v>
      </c>
      <c r="E24" s="16">
        <f t="shared" si="0"/>
        <v>51.81</v>
      </c>
      <c r="F24" s="8">
        <f t="shared" si="1"/>
        <v>43746</v>
      </c>
      <c r="G24" s="30" t="s">
        <v>95</v>
      </c>
      <c r="H24" s="22">
        <v>6.76</v>
      </c>
      <c r="I24" s="4">
        <v>33.619999999999997</v>
      </c>
      <c r="J24" s="32">
        <f t="shared" si="2"/>
        <v>40.379999999999995</v>
      </c>
      <c r="K24" s="9">
        <f t="shared" si="3"/>
        <v>43746</v>
      </c>
      <c r="L24" s="12">
        <v>31</v>
      </c>
      <c r="M24" s="23">
        <v>43.3</v>
      </c>
      <c r="N24" s="6">
        <v>0</v>
      </c>
      <c r="O24" s="140">
        <f>N24+M24</f>
        <v>43.3</v>
      </c>
      <c r="P24" s="54" t="s">
        <v>161</v>
      </c>
    </row>
    <row r="25" spans="1:16" x14ac:dyDescent="0.3">
      <c r="A25" s="7">
        <v>44061</v>
      </c>
      <c r="B25" s="10" t="s">
        <v>130</v>
      </c>
      <c r="C25" s="2">
        <v>25.44</v>
      </c>
      <c r="D25" s="2">
        <v>25.36</v>
      </c>
      <c r="E25" s="16">
        <f t="shared" si="0"/>
        <v>50.8</v>
      </c>
      <c r="F25" s="8">
        <f t="shared" si="1"/>
        <v>44061</v>
      </c>
      <c r="G25" s="30" t="s">
        <v>95</v>
      </c>
      <c r="H25" s="22">
        <v>5.5</v>
      </c>
      <c r="I25" s="4">
        <v>33.619999999999997</v>
      </c>
      <c r="J25" s="32">
        <f t="shared" si="2"/>
        <v>39.119999999999997</v>
      </c>
      <c r="K25" s="9">
        <f t="shared" si="3"/>
        <v>44061</v>
      </c>
      <c r="L25" s="12">
        <v>31</v>
      </c>
      <c r="M25" s="6">
        <v>43.46</v>
      </c>
      <c r="N25" s="6">
        <v>0</v>
      </c>
      <c r="O25" s="34">
        <f>N25+M25</f>
        <v>43.46</v>
      </c>
    </row>
    <row r="26" spans="1:16" x14ac:dyDescent="0.3">
      <c r="A26" s="7">
        <v>44777</v>
      </c>
      <c r="B26" s="10" t="s">
        <v>130</v>
      </c>
      <c r="C26" s="2">
        <v>23.75</v>
      </c>
      <c r="D26" s="2">
        <v>25.36</v>
      </c>
      <c r="E26" s="1">
        <f t="shared" si="0"/>
        <v>49.11</v>
      </c>
      <c r="F26" s="8">
        <f t="shared" si="1"/>
        <v>44777</v>
      </c>
      <c r="G26" s="30" t="s">
        <v>95</v>
      </c>
      <c r="H26" s="22">
        <v>4.5199999999999996</v>
      </c>
      <c r="I26" s="4">
        <v>33.619999999999997</v>
      </c>
      <c r="J26" s="32">
        <f t="shared" si="2"/>
        <v>38.14</v>
      </c>
      <c r="K26" s="9">
        <f t="shared" si="3"/>
        <v>44777</v>
      </c>
      <c r="L26" s="12">
        <v>31</v>
      </c>
      <c r="M26" s="6">
        <v>43.42</v>
      </c>
      <c r="N26" s="6">
        <v>0</v>
      </c>
      <c r="O26" s="34">
        <f>N26+M26</f>
        <v>43.42</v>
      </c>
    </row>
    <row r="27" spans="1:16" x14ac:dyDescent="0.3">
      <c r="A27" s="7">
        <v>45153</v>
      </c>
      <c r="B27" s="10" t="s">
        <v>130</v>
      </c>
      <c r="C27" s="2">
        <v>23.07</v>
      </c>
      <c r="D27" s="2">
        <v>25.36</v>
      </c>
      <c r="E27" s="1">
        <f t="shared" si="0"/>
        <v>48.43</v>
      </c>
      <c r="F27" s="8">
        <f t="shared" si="1"/>
        <v>45153</v>
      </c>
      <c r="G27" s="30" t="s">
        <v>95</v>
      </c>
      <c r="H27" s="22">
        <v>3.5</v>
      </c>
      <c r="I27" s="4">
        <v>33.619999999999997</v>
      </c>
      <c r="J27" s="32">
        <f t="shared" si="2"/>
        <v>37.119999999999997</v>
      </c>
      <c r="K27" s="9">
        <f t="shared" si="3"/>
        <v>45153</v>
      </c>
      <c r="L27" s="12">
        <v>31</v>
      </c>
      <c r="M27" s="23">
        <v>43.1</v>
      </c>
      <c r="N27" s="6">
        <v>0</v>
      </c>
      <c r="O27" s="34">
        <f>N27+M27</f>
        <v>43.1</v>
      </c>
    </row>
    <row r="28" spans="1:16" x14ac:dyDescent="0.3">
      <c r="F28" s="8" t="str">
        <f t="shared" si="1"/>
        <v/>
      </c>
      <c r="H28" s="22"/>
      <c r="K28" s="9" t="str">
        <f t="shared" si="3"/>
        <v/>
      </c>
      <c r="O28" s="23"/>
    </row>
    <row r="29" spans="1:16" x14ac:dyDescent="0.3">
      <c r="F29" s="8" t="str">
        <f t="shared" si="1"/>
        <v/>
      </c>
      <c r="H29" s="22"/>
      <c r="K29" s="9" t="str">
        <f t="shared" si="3"/>
        <v/>
      </c>
      <c r="O29" s="23"/>
    </row>
    <row r="30" spans="1:16" x14ac:dyDescent="0.3">
      <c r="F30" s="8" t="str">
        <f t="shared" si="1"/>
        <v/>
      </c>
      <c r="K30" s="9" t="str">
        <f t="shared" si="3"/>
        <v/>
      </c>
      <c r="O30" s="23"/>
    </row>
    <row r="31" spans="1:16" x14ac:dyDescent="0.3">
      <c r="F31" s="8" t="str">
        <f t="shared" si="1"/>
        <v/>
      </c>
      <c r="K31" s="9" t="str">
        <f t="shared" si="3"/>
        <v/>
      </c>
    </row>
    <row r="32" spans="1:16" x14ac:dyDescent="0.3">
      <c r="F32" s="8" t="str">
        <f t="shared" si="1"/>
        <v/>
      </c>
      <c r="K32" s="9" t="str">
        <f t="shared" si="3"/>
        <v/>
      </c>
    </row>
    <row r="33" spans="6:11" x14ac:dyDescent="0.3">
      <c r="F33" s="8" t="str">
        <f t="shared" si="1"/>
        <v/>
      </c>
      <c r="K33" s="9" t="str">
        <f t="shared" si="3"/>
        <v/>
      </c>
    </row>
    <row r="34" spans="6:11" x14ac:dyDescent="0.3">
      <c r="F34" s="8" t="str">
        <f t="shared" si="1"/>
        <v/>
      </c>
      <c r="K34" s="9" t="str">
        <f t="shared" si="3"/>
        <v/>
      </c>
    </row>
    <row r="35" spans="6:11" x14ac:dyDescent="0.3">
      <c r="F35" s="8" t="str">
        <f t="shared" ref="F35:F66" si="5">IF(ISNUMBER(A35),A35,"")</f>
        <v/>
      </c>
      <c r="K35" s="9" t="str">
        <f t="shared" ref="K35:K66" si="6">IF(ISNUMBER(F35),F35,"")</f>
        <v/>
      </c>
    </row>
    <row r="36" spans="6:11" x14ac:dyDescent="0.3">
      <c r="F36" s="8" t="str">
        <f t="shared" si="5"/>
        <v/>
      </c>
      <c r="K36" s="9" t="str">
        <f t="shared" si="6"/>
        <v/>
      </c>
    </row>
    <row r="37" spans="6:11" x14ac:dyDescent="0.3">
      <c r="F37" s="8" t="str">
        <f t="shared" si="5"/>
        <v/>
      </c>
      <c r="K37" s="9" t="str">
        <f t="shared" si="6"/>
        <v/>
      </c>
    </row>
    <row r="38" spans="6:11" x14ac:dyDescent="0.3">
      <c r="F38" s="8" t="str">
        <f t="shared" si="5"/>
        <v/>
      </c>
      <c r="K38" s="9" t="str">
        <f t="shared" si="6"/>
        <v/>
      </c>
    </row>
    <row r="39" spans="6:11" x14ac:dyDescent="0.3">
      <c r="F39" s="8" t="str">
        <f t="shared" si="5"/>
        <v/>
      </c>
      <c r="K39" s="9" t="str">
        <f t="shared" si="6"/>
        <v/>
      </c>
    </row>
    <row r="40" spans="6:11" x14ac:dyDescent="0.3">
      <c r="F40" s="8" t="str">
        <f t="shared" si="5"/>
        <v/>
      </c>
      <c r="K40" s="9" t="str">
        <f t="shared" si="6"/>
        <v/>
      </c>
    </row>
    <row r="41" spans="6:11" x14ac:dyDescent="0.3">
      <c r="F41" s="8" t="str">
        <f t="shared" si="5"/>
        <v/>
      </c>
      <c r="K41" s="9" t="str">
        <f t="shared" si="6"/>
        <v/>
      </c>
    </row>
    <row r="42" spans="6:11" x14ac:dyDescent="0.3">
      <c r="F42" s="8" t="str">
        <f t="shared" si="5"/>
        <v/>
      </c>
      <c r="K42" s="9" t="str">
        <f t="shared" si="6"/>
        <v/>
      </c>
    </row>
    <row r="43" spans="6:11" x14ac:dyDescent="0.3">
      <c r="F43" s="8" t="str">
        <f t="shared" si="5"/>
        <v/>
      </c>
      <c r="K43" s="9" t="str">
        <f t="shared" si="6"/>
        <v/>
      </c>
    </row>
    <row r="44" spans="6:11" x14ac:dyDescent="0.3">
      <c r="F44" s="8" t="str">
        <f t="shared" si="5"/>
        <v/>
      </c>
      <c r="K44" s="9" t="str">
        <f t="shared" si="6"/>
        <v/>
      </c>
    </row>
    <row r="45" spans="6:11" x14ac:dyDescent="0.3">
      <c r="F45" s="8" t="str">
        <f t="shared" si="5"/>
        <v/>
      </c>
      <c r="K45" s="9" t="str">
        <f t="shared" si="6"/>
        <v/>
      </c>
    </row>
    <row r="46" spans="6:11" x14ac:dyDescent="0.3">
      <c r="F46" s="8" t="str">
        <f t="shared" si="5"/>
        <v/>
      </c>
      <c r="K46" s="9" t="str">
        <f t="shared" si="6"/>
        <v/>
      </c>
    </row>
    <row r="47" spans="6:11" x14ac:dyDescent="0.3">
      <c r="F47" s="8" t="str">
        <f t="shared" si="5"/>
        <v/>
      </c>
      <c r="K47" s="9" t="str">
        <f t="shared" si="6"/>
        <v/>
      </c>
    </row>
    <row r="48" spans="6:11" x14ac:dyDescent="0.3">
      <c r="F48" s="8" t="str">
        <f t="shared" si="5"/>
        <v/>
      </c>
      <c r="K48" s="9" t="str">
        <f t="shared" si="6"/>
        <v/>
      </c>
    </row>
    <row r="49" spans="6:11" x14ac:dyDescent="0.3">
      <c r="F49" s="8" t="str">
        <f t="shared" si="5"/>
        <v/>
      </c>
      <c r="K49" s="9" t="str">
        <f t="shared" si="6"/>
        <v/>
      </c>
    </row>
    <row r="50" spans="6:11" x14ac:dyDescent="0.3">
      <c r="F50" s="8" t="str">
        <f t="shared" si="5"/>
        <v/>
      </c>
      <c r="K50" s="9" t="str">
        <f t="shared" si="6"/>
        <v/>
      </c>
    </row>
    <row r="51" spans="6:11" x14ac:dyDescent="0.3">
      <c r="F51" s="8" t="str">
        <f t="shared" si="5"/>
        <v/>
      </c>
      <c r="K51" s="9" t="str">
        <f t="shared" si="6"/>
        <v/>
      </c>
    </row>
    <row r="52" spans="6:11" x14ac:dyDescent="0.3">
      <c r="F52" s="8" t="str">
        <f t="shared" si="5"/>
        <v/>
      </c>
      <c r="K52" s="9" t="str">
        <f t="shared" si="6"/>
        <v/>
      </c>
    </row>
    <row r="53" spans="6:11" x14ac:dyDescent="0.3">
      <c r="F53" s="8" t="str">
        <f t="shared" si="5"/>
        <v/>
      </c>
      <c r="K53" s="9" t="str">
        <f t="shared" si="6"/>
        <v/>
      </c>
    </row>
    <row r="54" spans="6:11" x14ac:dyDescent="0.3">
      <c r="F54" s="8" t="str">
        <f t="shared" si="5"/>
        <v/>
      </c>
      <c r="K54" s="9" t="str">
        <f t="shared" si="6"/>
        <v/>
      </c>
    </row>
    <row r="55" spans="6:11" x14ac:dyDescent="0.3">
      <c r="F55" s="8" t="str">
        <f t="shared" si="5"/>
        <v/>
      </c>
      <c r="K55" s="9" t="str">
        <f t="shared" si="6"/>
        <v/>
      </c>
    </row>
    <row r="56" spans="6:11" x14ac:dyDescent="0.3">
      <c r="F56" s="8" t="str">
        <f t="shared" si="5"/>
        <v/>
      </c>
      <c r="K56" s="9" t="str">
        <f t="shared" si="6"/>
        <v/>
      </c>
    </row>
    <row r="57" spans="6:11" x14ac:dyDescent="0.3">
      <c r="F57" s="8" t="str">
        <f t="shared" si="5"/>
        <v/>
      </c>
      <c r="K57" s="9" t="str">
        <f t="shared" si="6"/>
        <v/>
      </c>
    </row>
    <row r="58" spans="6:11" x14ac:dyDescent="0.3">
      <c r="F58" s="8" t="str">
        <f t="shared" si="5"/>
        <v/>
      </c>
      <c r="K58" s="9" t="str">
        <f t="shared" si="6"/>
        <v/>
      </c>
    </row>
    <row r="59" spans="6:11" x14ac:dyDescent="0.3">
      <c r="F59" s="8" t="str">
        <f t="shared" si="5"/>
        <v/>
      </c>
      <c r="K59" s="9" t="str">
        <f t="shared" si="6"/>
        <v/>
      </c>
    </row>
    <row r="60" spans="6:11" x14ac:dyDescent="0.3">
      <c r="F60" s="8" t="str">
        <f t="shared" si="5"/>
        <v/>
      </c>
      <c r="K60" s="9" t="str">
        <f t="shared" si="6"/>
        <v/>
      </c>
    </row>
    <row r="61" spans="6:11" x14ac:dyDescent="0.3">
      <c r="F61" s="8" t="str">
        <f t="shared" si="5"/>
        <v/>
      </c>
      <c r="K61" s="9" t="str">
        <f t="shared" si="6"/>
        <v/>
      </c>
    </row>
    <row r="62" spans="6:11" x14ac:dyDescent="0.3">
      <c r="F62" s="8" t="str">
        <f t="shared" si="5"/>
        <v/>
      </c>
      <c r="K62" s="9" t="str">
        <f t="shared" si="6"/>
        <v/>
      </c>
    </row>
    <row r="63" spans="6:11" x14ac:dyDescent="0.3">
      <c r="F63" s="8" t="str">
        <f t="shared" si="5"/>
        <v/>
      </c>
      <c r="K63" s="9" t="str">
        <f t="shared" si="6"/>
        <v/>
      </c>
    </row>
    <row r="64" spans="6:11" x14ac:dyDescent="0.3">
      <c r="F64" s="8" t="str">
        <f t="shared" si="5"/>
        <v/>
      </c>
      <c r="K64" s="9" t="str">
        <f t="shared" si="6"/>
        <v/>
      </c>
    </row>
    <row r="65" spans="6:11" x14ac:dyDescent="0.3">
      <c r="F65" s="8" t="str">
        <f t="shared" si="5"/>
        <v/>
      </c>
      <c r="K65" s="9" t="str">
        <f t="shared" si="6"/>
        <v/>
      </c>
    </row>
    <row r="66" spans="6:11" x14ac:dyDescent="0.3">
      <c r="F66" s="8" t="str">
        <f t="shared" si="5"/>
        <v/>
      </c>
      <c r="K66" s="9" t="str">
        <f t="shared" si="6"/>
        <v/>
      </c>
    </row>
    <row r="67" spans="6:11" x14ac:dyDescent="0.3">
      <c r="F67" s="8" t="str">
        <f t="shared" ref="F67:F81" si="7">IF(ISNUMBER(A67),A67,"")</f>
        <v/>
      </c>
      <c r="K67" s="9" t="str">
        <f t="shared" ref="K67:K72" si="8">IF(ISNUMBER(F67),F67,"")</f>
        <v/>
      </c>
    </row>
    <row r="68" spans="6:11" x14ac:dyDescent="0.3">
      <c r="F68" s="8" t="str">
        <f t="shared" si="7"/>
        <v/>
      </c>
      <c r="K68" s="9" t="str">
        <f t="shared" si="8"/>
        <v/>
      </c>
    </row>
    <row r="69" spans="6:11" x14ac:dyDescent="0.3">
      <c r="F69" s="8" t="str">
        <f t="shared" si="7"/>
        <v/>
      </c>
      <c r="K69" s="9" t="str">
        <f t="shared" si="8"/>
        <v/>
      </c>
    </row>
    <row r="70" spans="6:11" x14ac:dyDescent="0.3">
      <c r="F70" s="8" t="str">
        <f t="shared" si="7"/>
        <v/>
      </c>
      <c r="K70" s="9" t="str">
        <f t="shared" si="8"/>
        <v/>
      </c>
    </row>
    <row r="71" spans="6:11" x14ac:dyDescent="0.3">
      <c r="F71" s="8" t="str">
        <f t="shared" si="7"/>
        <v/>
      </c>
      <c r="K71" s="9" t="str">
        <f t="shared" si="8"/>
        <v/>
      </c>
    </row>
    <row r="72" spans="6:11" x14ac:dyDescent="0.3">
      <c r="F72" s="8" t="str">
        <f t="shared" si="7"/>
        <v/>
      </c>
      <c r="K72" s="9" t="str">
        <f t="shared" si="8"/>
        <v/>
      </c>
    </row>
    <row r="73" spans="6:11" x14ac:dyDescent="0.3">
      <c r="F73" s="8" t="str">
        <f t="shared" si="7"/>
        <v/>
      </c>
      <c r="K73" s="9" t="str">
        <f t="shared" ref="K73:K81" si="9">IF(ISNUMBER(F73),F73,"")</f>
        <v/>
      </c>
    </row>
    <row r="74" spans="6:11" x14ac:dyDescent="0.3">
      <c r="F74" s="8" t="str">
        <f t="shared" si="7"/>
        <v/>
      </c>
      <c r="K74" s="9" t="str">
        <f t="shared" si="9"/>
        <v/>
      </c>
    </row>
    <row r="75" spans="6:11" x14ac:dyDescent="0.3">
      <c r="F75" s="8" t="str">
        <f t="shared" si="7"/>
        <v/>
      </c>
      <c r="K75" s="9" t="str">
        <f t="shared" si="9"/>
        <v/>
      </c>
    </row>
    <row r="76" spans="6:11" x14ac:dyDescent="0.3">
      <c r="F76" s="8" t="str">
        <f t="shared" si="7"/>
        <v/>
      </c>
      <c r="K76" s="9" t="str">
        <f t="shared" si="9"/>
        <v/>
      </c>
    </row>
    <row r="77" spans="6:11" x14ac:dyDescent="0.3">
      <c r="F77" s="8" t="str">
        <f t="shared" si="7"/>
        <v/>
      </c>
      <c r="K77" s="9" t="str">
        <f t="shared" si="9"/>
        <v/>
      </c>
    </row>
    <row r="78" spans="6:11" x14ac:dyDescent="0.3">
      <c r="F78" s="8" t="str">
        <f t="shared" si="7"/>
        <v/>
      </c>
      <c r="K78" s="9" t="str">
        <f t="shared" si="9"/>
        <v/>
      </c>
    </row>
    <row r="79" spans="6:11" x14ac:dyDescent="0.3">
      <c r="F79" s="8" t="str">
        <f t="shared" si="7"/>
        <v/>
      </c>
      <c r="K79" s="9" t="str">
        <f t="shared" si="9"/>
        <v/>
      </c>
    </row>
    <row r="80" spans="6:11" x14ac:dyDescent="0.3">
      <c r="F80" s="8" t="str">
        <f t="shared" si="7"/>
        <v/>
      </c>
      <c r="K80" s="9" t="str">
        <f t="shared" si="9"/>
        <v/>
      </c>
    </row>
    <row r="81" spans="6:11" x14ac:dyDescent="0.3">
      <c r="F81" s="8" t="str">
        <f t="shared" si="7"/>
        <v/>
      </c>
      <c r="K81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8"/>
  <sheetViews>
    <sheetView workbookViewId="0">
      <selection activeCell="A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9.17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</cols>
  <sheetData>
    <row r="1" spans="1:16" x14ac:dyDescent="0.3">
      <c r="A1" s="1" t="s">
        <v>26</v>
      </c>
      <c r="F1" s="3" t="s">
        <v>27</v>
      </c>
      <c r="K1" s="5" t="s">
        <v>28</v>
      </c>
    </row>
    <row r="2" spans="1:16" s="80" customFormat="1" ht="23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6" x14ac:dyDescent="0.3">
      <c r="A3" s="7">
        <v>21458</v>
      </c>
      <c r="B3" s="10">
        <v>130</v>
      </c>
      <c r="C3" s="20">
        <v>398</v>
      </c>
      <c r="D3" s="2">
        <v>-258.2</v>
      </c>
      <c r="E3" s="16">
        <f>D3+C3</f>
        <v>139.80000000000001</v>
      </c>
      <c r="F3" s="8">
        <f>IF(ISNUMBER(A3),A3,"")</f>
        <v>21458</v>
      </c>
      <c r="G3" s="11">
        <v>132</v>
      </c>
      <c r="H3" s="22">
        <v>338</v>
      </c>
      <c r="I3" s="4">
        <v>-175.8</v>
      </c>
      <c r="J3" s="17">
        <f>I3+H3</f>
        <v>162.19999999999999</v>
      </c>
      <c r="K3" s="9">
        <f>IF(ISNUMBER(F3),F3,"")</f>
        <v>21458</v>
      </c>
      <c r="L3" s="12">
        <v>134</v>
      </c>
      <c r="M3" s="23">
        <v>356.4</v>
      </c>
      <c r="N3" s="6">
        <v>-165.4</v>
      </c>
      <c r="O3" s="18">
        <f>N3+M3</f>
        <v>190.99999999999997</v>
      </c>
    </row>
    <row r="4" spans="1:16" x14ac:dyDescent="0.3">
      <c r="A4" s="7">
        <v>22211</v>
      </c>
      <c r="B4" s="10">
        <v>129</v>
      </c>
      <c r="C4" s="20">
        <v>135.1</v>
      </c>
      <c r="D4" s="2">
        <v>0</v>
      </c>
      <c r="E4" s="16">
        <f>D4+C4</f>
        <v>135.1</v>
      </c>
      <c r="F4" s="8">
        <f>IF(ISNUMBER(A4),A4,"")</f>
        <v>22211</v>
      </c>
      <c r="G4" s="11">
        <v>132</v>
      </c>
      <c r="H4" s="22">
        <v>331</v>
      </c>
      <c r="I4" s="4">
        <v>-175.8</v>
      </c>
      <c r="J4" s="17">
        <f>I4+H4</f>
        <v>155.19999999999999</v>
      </c>
      <c r="K4" s="9">
        <f>IF(ISNUMBER(F4),F4,"")</f>
        <v>22211</v>
      </c>
      <c r="L4" s="12">
        <v>133</v>
      </c>
      <c r="M4" s="23">
        <v>183.3</v>
      </c>
      <c r="N4" s="6">
        <v>0</v>
      </c>
      <c r="O4" s="18">
        <f>N4+M4</f>
        <v>183.3</v>
      </c>
    </row>
    <row r="5" spans="1:16" x14ac:dyDescent="0.3">
      <c r="A5" s="7">
        <v>23952</v>
      </c>
      <c r="B5" s="10">
        <v>129</v>
      </c>
      <c r="C5" s="20">
        <v>110</v>
      </c>
      <c r="D5" s="2">
        <v>0</v>
      </c>
      <c r="E5" s="16">
        <f>D5+C5</f>
        <v>110</v>
      </c>
      <c r="F5" s="8">
        <f>IF(ISNUMBER(A5),A5,"")</f>
        <v>23952</v>
      </c>
      <c r="G5" s="11">
        <v>132</v>
      </c>
      <c r="H5" s="22">
        <v>310.8</v>
      </c>
      <c r="I5" s="4">
        <v>-175.8</v>
      </c>
      <c r="J5" s="17">
        <f>I5+H5</f>
        <v>135</v>
      </c>
      <c r="K5" s="9">
        <f>IF(ISNUMBER(F5),F5,"")</f>
        <v>23952</v>
      </c>
      <c r="L5" s="12">
        <v>133</v>
      </c>
      <c r="M5" s="23">
        <v>164</v>
      </c>
      <c r="N5" s="6">
        <v>0</v>
      </c>
      <c r="O5" s="18">
        <f>N5+M5</f>
        <v>164</v>
      </c>
    </row>
    <row r="6" spans="1:16" x14ac:dyDescent="0.3">
      <c r="A6" s="7">
        <v>25766</v>
      </c>
      <c r="B6" s="10">
        <v>129</v>
      </c>
      <c r="C6" s="20">
        <v>92.74</v>
      </c>
      <c r="D6" s="2">
        <v>0</v>
      </c>
      <c r="E6" s="16">
        <f>D6+C6</f>
        <v>92.74</v>
      </c>
      <c r="F6" s="8">
        <f>IF(ISNUMBER(A6),A6,"")</f>
        <v>25766</v>
      </c>
      <c r="G6" s="11">
        <v>132</v>
      </c>
      <c r="H6" s="22">
        <v>293.19</v>
      </c>
      <c r="I6" s="4">
        <v>-175.8</v>
      </c>
      <c r="J6" s="17">
        <f>I6+H6</f>
        <v>117.38999999999999</v>
      </c>
      <c r="K6" s="9">
        <f>IF(ISNUMBER(F6),F6,"")</f>
        <v>25766</v>
      </c>
      <c r="L6" s="12">
        <v>133</v>
      </c>
      <c r="M6" s="23">
        <v>143.83000000000001</v>
      </c>
      <c r="N6" s="6">
        <v>0</v>
      </c>
      <c r="O6" s="18">
        <f>N6+M6</f>
        <v>143.83000000000001</v>
      </c>
    </row>
    <row r="7" spans="1:16" x14ac:dyDescent="0.3">
      <c r="A7" s="7">
        <v>27226</v>
      </c>
      <c r="B7" s="10">
        <v>129</v>
      </c>
      <c r="C7" s="20">
        <v>86</v>
      </c>
      <c r="D7" s="2">
        <v>0</v>
      </c>
      <c r="E7" s="16">
        <f>D7+C7</f>
        <v>86</v>
      </c>
      <c r="F7" s="8">
        <f>IF(ISNUMBER(A7),A7,"")</f>
        <v>27226</v>
      </c>
      <c r="G7" s="11">
        <v>132</v>
      </c>
      <c r="H7" s="22">
        <v>285</v>
      </c>
      <c r="I7" s="4">
        <v>-175.8</v>
      </c>
      <c r="J7" s="17">
        <f>I7+H7</f>
        <v>109.19999999999999</v>
      </c>
      <c r="K7" s="9">
        <f>IF(ISNUMBER(F7),F7,"")</f>
        <v>27226</v>
      </c>
      <c r="L7" s="12">
        <v>133</v>
      </c>
      <c r="M7" s="23">
        <v>133</v>
      </c>
      <c r="N7" s="6">
        <v>0</v>
      </c>
      <c r="O7" s="18">
        <f>N7+M7</f>
        <v>133</v>
      </c>
    </row>
    <row r="8" spans="1:16" x14ac:dyDescent="0.3">
      <c r="A8" s="7">
        <v>29552</v>
      </c>
      <c r="B8" s="10" t="s">
        <v>29</v>
      </c>
      <c r="C8" s="20">
        <v>8.4</v>
      </c>
      <c r="D8" s="2">
        <v>73.400000000000006</v>
      </c>
      <c r="E8" s="16">
        <f>D8+C8</f>
        <v>81.800000000000011</v>
      </c>
      <c r="F8" s="8">
        <f>IF(ISNUMBER(A8),A8,"")</f>
        <v>29552</v>
      </c>
      <c r="G8" s="11" t="s">
        <v>30</v>
      </c>
      <c r="H8" s="22">
        <v>8.3000000000000007</v>
      </c>
      <c r="I8" s="4">
        <v>89.4</v>
      </c>
      <c r="J8" s="17">
        <f>I8+H8</f>
        <v>97.7</v>
      </c>
      <c r="K8" s="9">
        <f>IF(ISNUMBER(F8),F8,"")</f>
        <v>29552</v>
      </c>
      <c r="L8" s="12" t="s">
        <v>31</v>
      </c>
      <c r="M8" s="23">
        <v>21.3</v>
      </c>
      <c r="N8" s="6">
        <v>102.02</v>
      </c>
      <c r="O8" s="18">
        <f>N8+M8</f>
        <v>123.32</v>
      </c>
    </row>
    <row r="9" spans="1:16" x14ac:dyDescent="0.3">
      <c r="A9" s="7">
        <v>31712</v>
      </c>
      <c r="B9" s="10">
        <v>129</v>
      </c>
      <c r="C9" s="20">
        <v>73.2</v>
      </c>
      <c r="D9" s="2">
        <v>0</v>
      </c>
      <c r="E9" s="16">
        <f>D9+C9</f>
        <v>73.2</v>
      </c>
      <c r="F9" s="8">
        <f>IF(ISNUMBER(A9),A9,"")</f>
        <v>31712</v>
      </c>
      <c r="G9" s="11" t="s">
        <v>30</v>
      </c>
      <c r="H9" s="22">
        <v>3.1</v>
      </c>
      <c r="I9" s="4">
        <v>89.4</v>
      </c>
      <c r="J9" s="17">
        <f>I9+H9</f>
        <v>92.5</v>
      </c>
      <c r="K9" s="9">
        <f>IF(ISNUMBER(F9),F9,"")</f>
        <v>31712</v>
      </c>
      <c r="L9" s="12" t="s">
        <v>31</v>
      </c>
      <c r="M9" s="23">
        <v>13.9</v>
      </c>
      <c r="N9" s="6">
        <v>102.02</v>
      </c>
      <c r="O9" s="18">
        <f>N9+M9</f>
        <v>115.92</v>
      </c>
    </row>
    <row r="10" spans="1:16" x14ac:dyDescent="0.3">
      <c r="A10" s="7">
        <v>32649</v>
      </c>
      <c r="B10" s="10">
        <v>129</v>
      </c>
      <c r="C10" s="20">
        <v>71.650000000000006</v>
      </c>
      <c r="D10" s="2">
        <v>0</v>
      </c>
      <c r="E10" s="16">
        <f>D10+C10</f>
        <v>71.650000000000006</v>
      </c>
      <c r="F10" s="8">
        <f>IF(ISNUMBER(A10),A10,"")</f>
        <v>32649</v>
      </c>
      <c r="G10" s="11">
        <v>131</v>
      </c>
      <c r="H10" s="22">
        <v>89.35</v>
      </c>
      <c r="I10" s="4">
        <v>0</v>
      </c>
      <c r="J10" s="17">
        <f>I10+H10</f>
        <v>89.35</v>
      </c>
      <c r="K10" s="9">
        <f>IF(ISNUMBER(F10),F10,"")</f>
        <v>32649</v>
      </c>
      <c r="L10" s="12" t="s">
        <v>31</v>
      </c>
      <c r="M10" s="23">
        <v>11.9</v>
      </c>
      <c r="N10" s="6">
        <v>102.02</v>
      </c>
      <c r="O10" s="18">
        <f>N10+M10</f>
        <v>113.92</v>
      </c>
    </row>
    <row r="11" spans="1:16" x14ac:dyDescent="0.3">
      <c r="A11" s="7">
        <v>34631</v>
      </c>
      <c r="B11" s="10">
        <v>129</v>
      </c>
      <c r="C11" s="20">
        <v>68.290000000000006</v>
      </c>
      <c r="D11" s="2">
        <v>0</v>
      </c>
      <c r="E11" s="16">
        <f>D11+C11</f>
        <v>68.290000000000006</v>
      </c>
      <c r="F11" s="8">
        <f>IF(ISNUMBER(A11),A11,"")</f>
        <v>34631</v>
      </c>
      <c r="G11" s="11">
        <v>131</v>
      </c>
      <c r="H11" s="22">
        <v>83.1</v>
      </c>
      <c r="I11" s="4">
        <v>0</v>
      </c>
      <c r="J11" s="17">
        <f>I11+H11</f>
        <v>83.1</v>
      </c>
      <c r="K11" s="9">
        <f>IF(ISNUMBER(F11),F11,"")</f>
        <v>34631</v>
      </c>
      <c r="L11" s="12" t="s">
        <v>31</v>
      </c>
      <c r="M11" s="23">
        <v>4.1500000000000004</v>
      </c>
      <c r="N11" s="6">
        <v>102.02</v>
      </c>
      <c r="O11" s="18">
        <f>N11+M11</f>
        <v>106.17</v>
      </c>
    </row>
    <row r="12" spans="1:16" x14ac:dyDescent="0.3">
      <c r="A12" s="7">
        <v>37825</v>
      </c>
      <c r="B12" s="10">
        <v>129</v>
      </c>
      <c r="C12" s="20">
        <v>66.36</v>
      </c>
      <c r="D12" s="2">
        <v>0</v>
      </c>
      <c r="E12" s="16">
        <f>D12+C12</f>
        <v>66.36</v>
      </c>
      <c r="F12" s="8">
        <f>IF(ISNUMBER(A12),A12,"")</f>
        <v>37825</v>
      </c>
      <c r="G12" s="11">
        <v>131</v>
      </c>
      <c r="H12" s="22">
        <v>72.650000000000006</v>
      </c>
      <c r="I12" s="4">
        <v>0</v>
      </c>
      <c r="J12" s="17">
        <f>I12+H12</f>
        <v>72.650000000000006</v>
      </c>
      <c r="K12" s="9">
        <f>IF(ISNUMBER(F12),F12,"")</f>
        <v>37825</v>
      </c>
      <c r="L12" s="12">
        <v>133</v>
      </c>
      <c r="M12" s="23">
        <v>95.59</v>
      </c>
      <c r="N12" s="6">
        <v>0</v>
      </c>
      <c r="O12" s="18">
        <f>N12+M12</f>
        <v>95.59</v>
      </c>
    </row>
    <row r="13" spans="1:16" x14ac:dyDescent="0.3">
      <c r="A13" s="7">
        <v>38195</v>
      </c>
      <c r="B13" s="10" t="s">
        <v>69</v>
      </c>
      <c r="C13" s="20">
        <v>66.010000000000005</v>
      </c>
      <c r="D13" s="2">
        <v>0</v>
      </c>
      <c r="E13" s="16">
        <f>D13+C13</f>
        <v>66.010000000000005</v>
      </c>
      <c r="F13" s="8">
        <f>IF(ISNUMBER(A13),A13,"")</f>
        <v>38195</v>
      </c>
      <c r="G13" s="11" t="s">
        <v>68</v>
      </c>
      <c r="H13" s="22">
        <v>71.55</v>
      </c>
      <c r="I13" s="4">
        <v>0</v>
      </c>
      <c r="J13" s="17">
        <f>I13+H13</f>
        <v>71.55</v>
      </c>
      <c r="K13" s="9">
        <f>IF(ISNUMBER(F13),F13,"")</f>
        <v>38195</v>
      </c>
      <c r="L13" s="12" t="s">
        <v>67</v>
      </c>
      <c r="M13" s="23">
        <v>94.08</v>
      </c>
      <c r="N13" s="6">
        <v>0</v>
      </c>
      <c r="O13" s="18">
        <f>N13+M13</f>
        <v>94.08</v>
      </c>
      <c r="P13" t="s">
        <v>70</v>
      </c>
    </row>
    <row r="14" spans="1:16" x14ac:dyDescent="0.3">
      <c r="A14" s="7">
        <v>38921</v>
      </c>
      <c r="B14" s="26" t="s">
        <v>69</v>
      </c>
      <c r="C14" s="20">
        <v>65.3</v>
      </c>
      <c r="D14" s="2">
        <v>0</v>
      </c>
      <c r="E14" s="16">
        <f>D14+C14</f>
        <v>65.3</v>
      </c>
      <c r="F14" s="8">
        <f>IF(ISNUMBER(A14),A14,"")</f>
        <v>38921</v>
      </c>
      <c r="G14" s="25" t="s">
        <v>68</v>
      </c>
      <c r="H14" s="22">
        <v>67.95</v>
      </c>
      <c r="I14" s="4">
        <v>0</v>
      </c>
      <c r="J14" s="17">
        <f>I14+H14</f>
        <v>67.95</v>
      </c>
      <c r="K14" s="9">
        <f>IF(ISNUMBER(F14),F14,"")</f>
        <v>38921</v>
      </c>
      <c r="M14" s="23"/>
      <c r="O14" s="18"/>
      <c r="P14" s="24" t="s">
        <v>81</v>
      </c>
    </row>
    <row r="15" spans="1:16" x14ac:dyDescent="0.3">
      <c r="A15" s="7">
        <v>38990</v>
      </c>
      <c r="B15" s="10">
        <v>129</v>
      </c>
      <c r="C15" s="20">
        <v>65.67</v>
      </c>
      <c r="D15" s="2">
        <v>0</v>
      </c>
      <c r="E15" s="16">
        <f>D15+C15</f>
        <v>65.67</v>
      </c>
      <c r="F15" s="8">
        <f>IF(ISNUMBER(A15),A15,"")</f>
        <v>38990</v>
      </c>
      <c r="G15" s="11">
        <v>131</v>
      </c>
      <c r="H15" s="22">
        <v>67.790000000000006</v>
      </c>
      <c r="I15" s="4">
        <v>0</v>
      </c>
      <c r="J15" s="17">
        <f>I15+H15</f>
        <v>67.790000000000006</v>
      </c>
      <c r="K15" s="9">
        <f>IF(ISNUMBER(F15),F15,"")</f>
        <v>38990</v>
      </c>
      <c r="L15" s="12">
        <v>133</v>
      </c>
      <c r="M15" s="23">
        <v>90.6</v>
      </c>
      <c r="N15" s="6">
        <v>0</v>
      </c>
      <c r="O15" s="18">
        <f>N15+M15</f>
        <v>90.6</v>
      </c>
    </row>
    <row r="16" spans="1:16" x14ac:dyDescent="0.3">
      <c r="A16" s="7">
        <v>40013</v>
      </c>
      <c r="B16" s="10">
        <v>129</v>
      </c>
      <c r="C16" s="2">
        <v>65.27</v>
      </c>
      <c r="D16" s="2">
        <v>0</v>
      </c>
      <c r="E16" s="1">
        <f>D16+C16</f>
        <v>65.27</v>
      </c>
      <c r="F16" s="8">
        <f>IF(ISNUMBER(A16),A16,"")</f>
        <v>40013</v>
      </c>
      <c r="G16" s="11">
        <v>131</v>
      </c>
      <c r="H16" s="22">
        <v>65.2</v>
      </c>
      <c r="I16" s="4">
        <v>0</v>
      </c>
      <c r="J16" s="17">
        <f>I16+H16</f>
        <v>65.2</v>
      </c>
      <c r="K16" s="9">
        <f>IF(ISNUMBER(F16),F16,"")</f>
        <v>40013</v>
      </c>
      <c r="L16" s="12">
        <v>133</v>
      </c>
      <c r="M16" s="23">
        <v>89.1</v>
      </c>
      <c r="N16" s="6">
        <v>0</v>
      </c>
      <c r="O16" s="18">
        <f>N16+M16</f>
        <v>89.1</v>
      </c>
      <c r="P16" s="29" t="s">
        <v>105</v>
      </c>
    </row>
    <row r="17" spans="1:16" x14ac:dyDescent="0.3">
      <c r="A17" s="7">
        <v>40383</v>
      </c>
      <c r="B17" s="10">
        <v>129</v>
      </c>
      <c r="C17" s="2">
        <v>65.209999999999994</v>
      </c>
      <c r="D17" s="2">
        <v>0</v>
      </c>
      <c r="E17" s="1">
        <f>D17+C17</f>
        <v>65.209999999999994</v>
      </c>
      <c r="F17" s="8">
        <f>IF(ISNUMBER(A17),A17,"")</f>
        <v>40383</v>
      </c>
      <c r="G17" s="11">
        <v>131</v>
      </c>
      <c r="H17" s="22">
        <v>64.959999999999994</v>
      </c>
      <c r="I17" s="4">
        <v>0</v>
      </c>
      <c r="J17" s="32">
        <f>I17+H17</f>
        <v>64.959999999999994</v>
      </c>
      <c r="K17" s="9">
        <f>IF(ISNUMBER(F17),F17,"")</f>
        <v>40383</v>
      </c>
      <c r="L17" s="12">
        <v>133</v>
      </c>
      <c r="M17" s="23">
        <v>88.01</v>
      </c>
      <c r="N17" s="6">
        <v>0</v>
      </c>
      <c r="O17" s="33">
        <f>N17+M17</f>
        <v>88.01</v>
      </c>
      <c r="P17" s="29" t="s">
        <v>106</v>
      </c>
    </row>
    <row r="18" spans="1:16" x14ac:dyDescent="0.3">
      <c r="A18" s="7">
        <v>41197</v>
      </c>
      <c r="B18" s="10">
        <v>129</v>
      </c>
      <c r="C18" s="2">
        <v>61.99</v>
      </c>
      <c r="D18" s="2">
        <v>0</v>
      </c>
      <c r="E18" s="57">
        <f>D18+C18</f>
        <v>61.99</v>
      </c>
      <c r="F18" s="8">
        <f>IF(ISNUMBER(A18),A18,"")</f>
        <v>41197</v>
      </c>
      <c r="G18" s="11">
        <v>131</v>
      </c>
      <c r="H18" s="4">
        <v>63.29</v>
      </c>
      <c r="I18" s="4">
        <v>0</v>
      </c>
      <c r="J18" s="32">
        <f>I18+H18</f>
        <v>63.29</v>
      </c>
      <c r="K18" s="9">
        <f>IF(ISNUMBER(F18),F18,"")</f>
        <v>41197</v>
      </c>
      <c r="L18" s="12">
        <v>133</v>
      </c>
      <c r="M18" s="6">
        <v>86.49</v>
      </c>
      <c r="N18" s="6">
        <v>0</v>
      </c>
      <c r="O18" s="33">
        <f>N18+M18</f>
        <v>86.49</v>
      </c>
    </row>
    <row r="19" spans="1:16" x14ac:dyDescent="0.3">
      <c r="A19" s="7">
        <v>41465</v>
      </c>
      <c r="B19" s="10">
        <v>129</v>
      </c>
      <c r="C19" s="2">
        <v>62.95</v>
      </c>
      <c r="D19" s="2">
        <v>0</v>
      </c>
      <c r="E19" s="57">
        <f>D19+C19</f>
        <v>62.95</v>
      </c>
      <c r="F19" s="8">
        <f>IF(ISNUMBER(A19),A19,"")</f>
        <v>41465</v>
      </c>
      <c r="G19" s="11">
        <v>131</v>
      </c>
      <c r="H19" s="4">
        <v>62.08</v>
      </c>
      <c r="I19" s="4">
        <v>0</v>
      </c>
      <c r="J19" s="32">
        <f>I19+H19</f>
        <v>62.08</v>
      </c>
      <c r="K19" s="9">
        <f>IF(ISNUMBER(F19),F19,"")</f>
        <v>41465</v>
      </c>
      <c r="L19" s="12">
        <v>133</v>
      </c>
      <c r="M19" s="6">
        <v>86.46</v>
      </c>
      <c r="N19" s="6">
        <v>0</v>
      </c>
      <c r="O19" s="33">
        <f>N19+M19</f>
        <v>86.46</v>
      </c>
      <c r="P19" s="29" t="s">
        <v>121</v>
      </c>
    </row>
    <row r="20" spans="1:16" x14ac:dyDescent="0.3">
      <c r="A20" s="67">
        <v>41831</v>
      </c>
      <c r="B20" s="28">
        <v>129</v>
      </c>
      <c r="C20" s="68">
        <v>63.42</v>
      </c>
      <c r="D20" s="68">
        <v>0</v>
      </c>
      <c r="E20" s="73">
        <f>D20+C20</f>
        <v>63.42</v>
      </c>
      <c r="F20" s="63">
        <f>IF(ISNUMBER(A20),A20,"")</f>
        <v>41831</v>
      </c>
      <c r="G20" s="30">
        <v>131</v>
      </c>
      <c r="H20" s="64">
        <v>62.06</v>
      </c>
      <c r="I20" s="64">
        <v>0</v>
      </c>
      <c r="J20" s="32">
        <f>I20+H20</f>
        <v>62.06</v>
      </c>
      <c r="K20" s="65">
        <f>IF(ISNUMBER(F20),F20,"")</f>
        <v>41831</v>
      </c>
      <c r="L20" s="31">
        <v>133</v>
      </c>
      <c r="M20" s="66">
        <v>86.36</v>
      </c>
      <c r="N20" s="66">
        <v>0</v>
      </c>
      <c r="O20" s="33">
        <f>N20+M20</f>
        <v>86.36</v>
      </c>
      <c r="P20" s="61" t="s">
        <v>127</v>
      </c>
    </row>
    <row r="21" spans="1:16" x14ac:dyDescent="0.3">
      <c r="A21" s="7">
        <v>42200</v>
      </c>
      <c r="B21" s="10">
        <v>129</v>
      </c>
      <c r="C21" s="2">
        <v>62.48</v>
      </c>
      <c r="D21" s="2">
        <v>0</v>
      </c>
      <c r="E21" s="1">
        <f>D21+C21</f>
        <v>62.48</v>
      </c>
      <c r="F21" s="63">
        <f>IF(ISNUMBER(A21),A21,"")</f>
        <v>42200</v>
      </c>
      <c r="G21" s="30">
        <v>131</v>
      </c>
      <c r="H21" s="64">
        <v>61.92</v>
      </c>
      <c r="I21" s="64">
        <v>0</v>
      </c>
      <c r="J21" s="32">
        <f>I21+H21</f>
        <v>61.92</v>
      </c>
      <c r="K21" s="65">
        <f>IF(ISNUMBER(F21),F21,"")</f>
        <v>42200</v>
      </c>
      <c r="L21" s="31">
        <v>133</v>
      </c>
      <c r="M21" s="66">
        <v>86.12</v>
      </c>
      <c r="N21" s="66">
        <v>0</v>
      </c>
      <c r="O21" s="33">
        <f>N21+M21</f>
        <v>86.12</v>
      </c>
    </row>
    <row r="22" spans="1:16" x14ac:dyDescent="0.3">
      <c r="A22" s="7">
        <v>42515</v>
      </c>
      <c r="B22" s="10">
        <v>129</v>
      </c>
      <c r="C22" s="2">
        <v>60.11</v>
      </c>
      <c r="D22" s="2">
        <v>0</v>
      </c>
      <c r="E22" s="1">
        <f>D22+C22</f>
        <v>60.11</v>
      </c>
      <c r="F22" s="8">
        <f>IF(ISNUMBER(A22),A22,"")</f>
        <v>42515</v>
      </c>
      <c r="G22" s="11">
        <v>131</v>
      </c>
      <c r="H22" s="4">
        <v>59.69</v>
      </c>
      <c r="I22" s="4">
        <v>0</v>
      </c>
      <c r="J22" s="32">
        <f>I22+H22</f>
        <v>59.69</v>
      </c>
      <c r="K22" s="9">
        <f>IF(ISNUMBER(F22),F22,"")</f>
        <v>42515</v>
      </c>
      <c r="L22" s="12">
        <v>133</v>
      </c>
      <c r="M22" s="6">
        <v>86.09</v>
      </c>
      <c r="N22" s="6">
        <v>0</v>
      </c>
      <c r="O22" s="33">
        <f>N22+M22</f>
        <v>86.09</v>
      </c>
      <c r="P22" s="29" t="s">
        <v>137</v>
      </c>
    </row>
    <row r="23" spans="1:16" x14ac:dyDescent="0.3">
      <c r="A23" s="7">
        <v>42630</v>
      </c>
      <c r="B23" s="10">
        <v>129</v>
      </c>
      <c r="C23" s="20">
        <v>59.9</v>
      </c>
      <c r="D23" s="2">
        <v>0</v>
      </c>
      <c r="E23" s="16">
        <f>D23+C23</f>
        <v>59.9</v>
      </c>
      <c r="F23" s="8">
        <f>IF(ISNUMBER(A23),A23,"")</f>
        <v>42630</v>
      </c>
      <c r="G23" s="11">
        <v>131</v>
      </c>
      <c r="H23" s="22">
        <v>59.7</v>
      </c>
      <c r="I23" s="4">
        <v>0</v>
      </c>
      <c r="J23" s="50">
        <f>I23+H23</f>
        <v>59.7</v>
      </c>
      <c r="K23" s="9">
        <f>IF(ISNUMBER(F23),F23,"")</f>
        <v>42630</v>
      </c>
      <c r="L23" s="12">
        <v>133</v>
      </c>
      <c r="M23" s="6">
        <v>86.04</v>
      </c>
      <c r="N23" s="6">
        <v>0</v>
      </c>
      <c r="O23" s="33">
        <f>N23+M23</f>
        <v>86.04</v>
      </c>
      <c r="P23" s="29" t="s">
        <v>140</v>
      </c>
    </row>
    <row r="24" spans="1:16" x14ac:dyDescent="0.3">
      <c r="A24" s="7">
        <v>43691</v>
      </c>
      <c r="B24" s="10">
        <v>129</v>
      </c>
      <c r="C24" s="20">
        <v>56</v>
      </c>
      <c r="D24" s="2">
        <v>0</v>
      </c>
      <c r="E24" s="16">
        <f>D24+C24</f>
        <v>56</v>
      </c>
      <c r="F24" s="8">
        <f>IF(ISNUMBER(A24),A24,"")</f>
        <v>43691</v>
      </c>
      <c r="G24" s="11">
        <v>131</v>
      </c>
      <c r="H24" s="4">
        <v>54.84</v>
      </c>
      <c r="I24" s="4">
        <v>0</v>
      </c>
      <c r="J24" s="32">
        <f>I24+H24</f>
        <v>54.84</v>
      </c>
      <c r="K24" s="9">
        <f>IF(ISNUMBER(F24),F24,"")</f>
        <v>43691</v>
      </c>
      <c r="L24" s="12">
        <v>133</v>
      </c>
      <c r="M24" s="23">
        <v>84</v>
      </c>
      <c r="N24" s="6">
        <v>0</v>
      </c>
      <c r="O24" s="34">
        <f>N24+M24</f>
        <v>84</v>
      </c>
      <c r="P24" s="29" t="s">
        <v>144</v>
      </c>
    </row>
    <row r="25" spans="1:16" x14ac:dyDescent="0.3">
      <c r="A25" s="7">
        <v>44384</v>
      </c>
      <c r="B25" s="10">
        <v>129</v>
      </c>
      <c r="C25" s="2">
        <v>52.51</v>
      </c>
      <c r="D25" s="2">
        <v>0</v>
      </c>
      <c r="E25" s="16">
        <f>D25+C25</f>
        <v>52.51</v>
      </c>
      <c r="F25" s="8">
        <f>IF(ISNUMBER(A25),A25,"")</f>
        <v>44384</v>
      </c>
      <c r="G25" s="11">
        <v>131</v>
      </c>
      <c r="H25" s="22">
        <v>53.4</v>
      </c>
      <c r="I25" s="4">
        <v>0</v>
      </c>
      <c r="J25" s="50">
        <f>I25+H25</f>
        <v>53.4</v>
      </c>
      <c r="K25" s="9">
        <f>IF(ISNUMBER(F25),F25,"")</f>
        <v>44384</v>
      </c>
      <c r="L25" s="12">
        <v>133</v>
      </c>
      <c r="M25" s="6">
        <v>81.77</v>
      </c>
      <c r="N25" s="6">
        <v>0</v>
      </c>
      <c r="O25" s="34">
        <f>N25+M25</f>
        <v>81.77</v>
      </c>
    </row>
    <row r="26" spans="1:16" x14ac:dyDescent="0.3">
      <c r="A26" s="7">
        <v>44776</v>
      </c>
      <c r="B26" s="10">
        <v>129</v>
      </c>
      <c r="C26" s="2">
        <v>52.6</v>
      </c>
      <c r="D26" s="2">
        <v>0</v>
      </c>
      <c r="E26" s="16">
        <f>D26+C26</f>
        <v>52.6</v>
      </c>
      <c r="F26" s="8">
        <f>IF(ISNUMBER(A26),A26,"")</f>
        <v>44776</v>
      </c>
      <c r="G26" s="11">
        <v>131</v>
      </c>
      <c r="H26" s="4">
        <v>49.87</v>
      </c>
      <c r="I26" s="4">
        <v>0</v>
      </c>
      <c r="J26" s="139">
        <f>I26+H26</f>
        <v>49.87</v>
      </c>
      <c r="K26" s="9">
        <f>IF(ISNUMBER(F26),F26,"")</f>
        <v>44776</v>
      </c>
      <c r="L26" s="12">
        <v>133</v>
      </c>
      <c r="M26" s="23">
        <v>81</v>
      </c>
      <c r="N26" s="6">
        <v>0</v>
      </c>
      <c r="O26" s="34">
        <f>N26+M26</f>
        <v>81</v>
      </c>
    </row>
    <row r="27" spans="1:16" x14ac:dyDescent="0.3">
      <c r="F27" s="8" t="str">
        <f>IF(ISNUMBER(A27),A27,"")</f>
        <v/>
      </c>
      <c r="K27" s="9" t="str">
        <f>IF(ISNUMBER(F27),F27,"")</f>
        <v/>
      </c>
    </row>
    <row r="28" spans="1:16" x14ac:dyDescent="0.3">
      <c r="F28" s="8" t="str">
        <f>IF(ISNUMBER(A28),A28,"")</f>
        <v/>
      </c>
      <c r="K28" s="9" t="str">
        <f>IF(ISNUMBER(F28),F28,"")</f>
        <v/>
      </c>
    </row>
    <row r="29" spans="1:16" x14ac:dyDescent="0.3">
      <c r="F29" s="8" t="str">
        <f>IF(ISNUMBER(A29),A29,"")</f>
        <v/>
      </c>
      <c r="K29" s="9" t="str">
        <f>IF(ISNUMBER(F29),F29,"")</f>
        <v/>
      </c>
    </row>
    <row r="30" spans="1:16" x14ac:dyDescent="0.3">
      <c r="F30" s="8" t="str">
        <f>IF(ISNUMBER(A30),A30,"")</f>
        <v/>
      </c>
      <c r="K30" s="9" t="str">
        <f>IF(ISNUMBER(F30),F30,"")</f>
        <v/>
      </c>
    </row>
    <row r="31" spans="1:16" x14ac:dyDescent="0.3">
      <c r="F31" s="8" t="str">
        <f>IF(ISNUMBER(A31),A31,"")</f>
        <v/>
      </c>
      <c r="K31" s="9" t="str">
        <f>IF(ISNUMBER(F31),F31,"")</f>
        <v/>
      </c>
    </row>
    <row r="32" spans="1:16" x14ac:dyDescent="0.3">
      <c r="F32" s="8" t="str">
        <f>IF(ISNUMBER(A32),A32,"")</f>
        <v/>
      </c>
      <c r="K32" s="9" t="str">
        <f>IF(ISNUMBER(F32),F32,"")</f>
        <v/>
      </c>
    </row>
    <row r="33" spans="6:11" x14ac:dyDescent="0.3">
      <c r="F33" s="8" t="str">
        <f>IF(ISNUMBER(A33),A33,"")</f>
        <v/>
      </c>
      <c r="K33" s="9" t="str">
        <f>IF(ISNUMBER(F33),F33,"")</f>
        <v/>
      </c>
    </row>
    <row r="34" spans="6:11" x14ac:dyDescent="0.3">
      <c r="F34" s="8" t="str">
        <f>IF(ISNUMBER(A34),A34,"")</f>
        <v/>
      </c>
      <c r="K34" s="9" t="str">
        <f>IF(ISNUMBER(F34),F34,"")</f>
        <v/>
      </c>
    </row>
    <row r="35" spans="6:11" x14ac:dyDescent="0.3">
      <c r="F35" s="8" t="str">
        <f>IF(ISNUMBER(A35),A35,"")</f>
        <v/>
      </c>
      <c r="K35" s="9" t="str">
        <f>IF(ISNUMBER(F35),F35,"")</f>
        <v/>
      </c>
    </row>
    <row r="36" spans="6:11" x14ac:dyDescent="0.3">
      <c r="F36" s="8" t="str">
        <f>IF(ISNUMBER(A36),A36,"")</f>
        <v/>
      </c>
      <c r="K36" s="9" t="str">
        <f>IF(ISNUMBER(F36),F36,"")</f>
        <v/>
      </c>
    </row>
    <row r="37" spans="6:11" x14ac:dyDescent="0.3">
      <c r="F37" s="8" t="str">
        <f>IF(ISNUMBER(A37),A37,"")</f>
        <v/>
      </c>
      <c r="K37" s="9" t="str">
        <f>IF(ISNUMBER(F37),F37,"")</f>
        <v/>
      </c>
    </row>
    <row r="38" spans="6:11" x14ac:dyDescent="0.3">
      <c r="F38" s="8" t="str">
        <f>IF(ISNUMBER(A38),A38,"")</f>
        <v/>
      </c>
      <c r="K38" s="9" t="str">
        <f>IF(ISNUMBER(F38),F38,"")</f>
        <v/>
      </c>
    </row>
    <row r="39" spans="6:11" x14ac:dyDescent="0.3">
      <c r="F39" s="8" t="str">
        <f>IF(ISNUMBER(A39),A39,"")</f>
        <v/>
      </c>
      <c r="K39" s="9" t="str">
        <f>IF(ISNUMBER(F39),F39,"")</f>
        <v/>
      </c>
    </row>
    <row r="40" spans="6:11" x14ac:dyDescent="0.3">
      <c r="F40" s="8" t="str">
        <f>IF(ISNUMBER(A40),A40,"")</f>
        <v/>
      </c>
      <c r="K40" s="9" t="str">
        <f>IF(ISNUMBER(F40),F40,"")</f>
        <v/>
      </c>
    </row>
    <row r="41" spans="6:11" x14ac:dyDescent="0.3">
      <c r="F41" s="8" t="str">
        <f>IF(ISNUMBER(A41),A41,"")</f>
        <v/>
      </c>
      <c r="K41" s="9" t="str">
        <f>IF(ISNUMBER(F41),F41,"")</f>
        <v/>
      </c>
    </row>
    <row r="42" spans="6:11" x14ac:dyDescent="0.3">
      <c r="F42" s="8" t="str">
        <f>IF(ISNUMBER(A42),A42,"")</f>
        <v/>
      </c>
      <c r="K42" s="9" t="str">
        <f>IF(ISNUMBER(F42),F42,"")</f>
        <v/>
      </c>
    </row>
    <row r="43" spans="6:11" x14ac:dyDescent="0.3">
      <c r="F43" s="8" t="str">
        <f>IF(ISNUMBER(A43),A43,"")</f>
        <v/>
      </c>
      <c r="K43" s="9" t="str">
        <f>IF(ISNUMBER(F43),F43,"")</f>
        <v/>
      </c>
    </row>
    <row r="44" spans="6:11" x14ac:dyDescent="0.3">
      <c r="F44" s="8" t="str">
        <f>IF(ISNUMBER(A44),A44,"")</f>
        <v/>
      </c>
      <c r="K44" s="9" t="str">
        <f>IF(ISNUMBER(F44),F44,"")</f>
        <v/>
      </c>
    </row>
    <row r="45" spans="6:11" x14ac:dyDescent="0.3">
      <c r="F45" s="8" t="str">
        <f>IF(ISNUMBER(A45),A45,"")</f>
        <v/>
      </c>
      <c r="K45" s="9" t="str">
        <f>IF(ISNUMBER(F45),F45,"")</f>
        <v/>
      </c>
    </row>
    <row r="46" spans="6:11" x14ac:dyDescent="0.3">
      <c r="F46" s="8" t="str">
        <f>IF(ISNUMBER(A46),A46,"")</f>
        <v/>
      </c>
      <c r="K46" s="9" t="str">
        <f>IF(ISNUMBER(F46),F46,"")</f>
        <v/>
      </c>
    </row>
    <row r="47" spans="6:11" x14ac:dyDescent="0.3">
      <c r="F47" s="8" t="str">
        <f>IF(ISNUMBER(A47),A47,"")</f>
        <v/>
      </c>
      <c r="K47" s="9" t="str">
        <f>IF(ISNUMBER(F47),F47,"")</f>
        <v/>
      </c>
    </row>
    <row r="48" spans="6:11" x14ac:dyDescent="0.3">
      <c r="F48" s="8" t="str">
        <f>IF(ISNUMBER(A48),A48,"")</f>
        <v/>
      </c>
      <c r="K48" s="9" t="str">
        <f>IF(ISNUMBER(F48),F48,"")</f>
        <v/>
      </c>
    </row>
    <row r="49" spans="6:11" x14ac:dyDescent="0.3">
      <c r="F49" s="8" t="str">
        <f>IF(ISNUMBER(A49),A49,"")</f>
        <v/>
      </c>
      <c r="K49" s="9" t="str">
        <f>IF(ISNUMBER(F49),F49,"")</f>
        <v/>
      </c>
    </row>
    <row r="50" spans="6:11" x14ac:dyDescent="0.3">
      <c r="F50" s="8" t="str">
        <f>IF(ISNUMBER(A50),A50,"")</f>
        <v/>
      </c>
      <c r="K50" s="9" t="str">
        <f>IF(ISNUMBER(F50),F50,"")</f>
        <v/>
      </c>
    </row>
    <row r="51" spans="6:11" x14ac:dyDescent="0.3">
      <c r="F51" s="8" t="str">
        <f>IF(ISNUMBER(A51),A51,"")</f>
        <v/>
      </c>
      <c r="K51" s="9" t="str">
        <f>IF(ISNUMBER(F51),F51,"")</f>
        <v/>
      </c>
    </row>
    <row r="52" spans="6:11" x14ac:dyDescent="0.3">
      <c r="F52" s="8" t="str">
        <f>IF(ISNUMBER(A52),A52,"")</f>
        <v/>
      </c>
      <c r="K52" s="9" t="str">
        <f>IF(ISNUMBER(F52),F52,"")</f>
        <v/>
      </c>
    </row>
    <row r="53" spans="6:11" x14ac:dyDescent="0.3">
      <c r="F53" s="8" t="str">
        <f>IF(ISNUMBER(A53),A53,"")</f>
        <v/>
      </c>
      <c r="K53" s="9" t="str">
        <f>IF(ISNUMBER(F53),F53,"")</f>
        <v/>
      </c>
    </row>
    <row r="54" spans="6:11" x14ac:dyDescent="0.3">
      <c r="F54" s="8" t="str">
        <f>IF(ISNUMBER(A54),A54,"")</f>
        <v/>
      </c>
      <c r="K54" s="9" t="str">
        <f>IF(ISNUMBER(F54),F54,"")</f>
        <v/>
      </c>
    </row>
    <row r="55" spans="6:11" x14ac:dyDescent="0.3">
      <c r="F55" s="8" t="str">
        <f>IF(ISNUMBER(A55),A55,"")</f>
        <v/>
      </c>
      <c r="K55" s="9" t="str">
        <f>IF(ISNUMBER(F55),F55,"")</f>
        <v/>
      </c>
    </row>
    <row r="56" spans="6:11" x14ac:dyDescent="0.3">
      <c r="F56" s="8" t="str">
        <f>IF(ISNUMBER(A56),A56,"")</f>
        <v/>
      </c>
      <c r="K56" s="9" t="str">
        <f>IF(ISNUMBER(F56),F56,"")</f>
        <v/>
      </c>
    </row>
    <row r="57" spans="6:11" x14ac:dyDescent="0.3">
      <c r="F57" s="8" t="str">
        <f>IF(ISNUMBER(A57),A57,"")</f>
        <v/>
      </c>
      <c r="K57" s="9" t="str">
        <f>IF(ISNUMBER(F57),F57,"")</f>
        <v/>
      </c>
    </row>
    <row r="58" spans="6:11" x14ac:dyDescent="0.3">
      <c r="F58" s="8" t="str">
        <f>IF(ISNUMBER(A58),A58,"")</f>
        <v/>
      </c>
      <c r="K58" s="9" t="str">
        <f>IF(ISNUMBER(F58),F58,"")</f>
        <v/>
      </c>
    </row>
    <row r="59" spans="6:11" x14ac:dyDescent="0.3">
      <c r="F59" s="8" t="str">
        <f>IF(ISNUMBER(A59),A59,"")</f>
        <v/>
      </c>
      <c r="K59" s="9" t="str">
        <f>IF(ISNUMBER(F59),F59,"")</f>
        <v/>
      </c>
    </row>
    <row r="60" spans="6:11" x14ac:dyDescent="0.3">
      <c r="F60" s="8" t="str">
        <f>IF(ISNUMBER(A60),A60,"")</f>
        <v/>
      </c>
      <c r="K60" s="9" t="str">
        <f>IF(ISNUMBER(F60),F60,"")</f>
        <v/>
      </c>
    </row>
    <row r="61" spans="6:11" x14ac:dyDescent="0.3">
      <c r="F61" s="8" t="str">
        <f>IF(ISNUMBER(A61),A61,"")</f>
        <v/>
      </c>
      <c r="K61" s="9" t="str">
        <f>IF(ISNUMBER(F61),F61,"")</f>
        <v/>
      </c>
    </row>
    <row r="62" spans="6:11" x14ac:dyDescent="0.3">
      <c r="F62" s="8" t="str">
        <f>IF(ISNUMBER(A62),A62,"")</f>
        <v/>
      </c>
      <c r="K62" s="9" t="str">
        <f>IF(ISNUMBER(F62),F62,"")</f>
        <v/>
      </c>
    </row>
    <row r="63" spans="6:11" x14ac:dyDescent="0.3">
      <c r="F63" s="8" t="str">
        <f>IF(ISNUMBER(A63),A63,"")</f>
        <v/>
      </c>
      <c r="K63" s="9" t="str">
        <f>IF(ISNUMBER(F63),F63,"")</f>
        <v/>
      </c>
    </row>
    <row r="64" spans="6:11" x14ac:dyDescent="0.3">
      <c r="F64" s="8" t="str">
        <f>IF(ISNUMBER(A64),A64,"")</f>
        <v/>
      </c>
      <c r="K64" s="9" t="str">
        <f>IF(ISNUMBER(F64),F64,"")</f>
        <v/>
      </c>
    </row>
    <row r="65" spans="6:11" x14ac:dyDescent="0.3">
      <c r="F65" s="8" t="str">
        <f>IF(ISNUMBER(A65),A65,"")</f>
        <v/>
      </c>
      <c r="K65" s="9" t="str">
        <f>IF(ISNUMBER(F65),F65,"")</f>
        <v/>
      </c>
    </row>
    <row r="66" spans="6:11" x14ac:dyDescent="0.3">
      <c r="F66" s="8" t="str">
        <f>IF(ISNUMBER(A66),A66,"")</f>
        <v/>
      </c>
      <c r="K66" s="9" t="str">
        <f>IF(ISNUMBER(F66),F66,"")</f>
        <v/>
      </c>
    </row>
    <row r="67" spans="6:11" x14ac:dyDescent="0.3">
      <c r="F67" s="8" t="str">
        <f>IF(ISNUMBER(A67),A67,"")</f>
        <v/>
      </c>
      <c r="K67" s="9" t="str">
        <f>IF(ISNUMBER(F67),F67,"")</f>
        <v/>
      </c>
    </row>
    <row r="68" spans="6:11" x14ac:dyDescent="0.3">
      <c r="F68" s="8" t="str">
        <f>IF(ISNUMBER(A68),A68,"")</f>
        <v/>
      </c>
      <c r="K68" s="9" t="str">
        <f>IF(ISNUMBER(F68),F68,"")</f>
        <v/>
      </c>
    </row>
    <row r="69" spans="6:11" x14ac:dyDescent="0.3">
      <c r="F69" s="8" t="str">
        <f>IF(ISNUMBER(A69),A69,"")</f>
        <v/>
      </c>
      <c r="K69" s="9" t="str">
        <f>IF(ISNUMBER(F69),F69,"")</f>
        <v/>
      </c>
    </row>
    <row r="70" spans="6:11" x14ac:dyDescent="0.3">
      <c r="F70" s="8" t="str">
        <f>IF(ISNUMBER(A70),A70,"")</f>
        <v/>
      </c>
      <c r="K70" s="9" t="str">
        <f t="shared" ref="K70:K78" si="0">IF(ISNUMBER(F70),F70,"")</f>
        <v/>
      </c>
    </row>
    <row r="71" spans="6:11" x14ac:dyDescent="0.3">
      <c r="F71" s="8" t="str">
        <f>IF(ISNUMBER(A71),A71,"")</f>
        <v/>
      </c>
      <c r="K71" s="9" t="str">
        <f t="shared" si="0"/>
        <v/>
      </c>
    </row>
    <row r="72" spans="6:11" x14ac:dyDescent="0.3">
      <c r="F72" s="8" t="str">
        <f>IF(ISNUMBER(A72),A72,"")</f>
        <v/>
      </c>
      <c r="K72" s="9" t="str">
        <f t="shared" si="0"/>
        <v/>
      </c>
    </row>
    <row r="73" spans="6:11" x14ac:dyDescent="0.3">
      <c r="F73" s="8" t="str">
        <f>IF(ISNUMBER(A73),A73,"")</f>
        <v/>
      </c>
      <c r="K73" s="9" t="str">
        <f t="shared" si="0"/>
        <v/>
      </c>
    </row>
    <row r="74" spans="6:11" x14ac:dyDescent="0.3">
      <c r="F74" s="8" t="str">
        <f>IF(ISNUMBER(A74),A74,"")</f>
        <v/>
      </c>
      <c r="K74" s="9" t="str">
        <f t="shared" si="0"/>
        <v/>
      </c>
    </row>
    <row r="75" spans="6:11" x14ac:dyDescent="0.3">
      <c r="F75" s="8" t="str">
        <f>IF(ISNUMBER(A75),A75,"")</f>
        <v/>
      </c>
      <c r="K75" s="9" t="str">
        <f t="shared" si="0"/>
        <v/>
      </c>
    </row>
    <row r="76" spans="6:11" x14ac:dyDescent="0.3">
      <c r="F76" s="8" t="str">
        <f>IF(ISNUMBER(A76),A76,"")</f>
        <v/>
      </c>
      <c r="K76" s="9" t="str">
        <f t="shared" si="0"/>
        <v/>
      </c>
    </row>
    <row r="77" spans="6:11" x14ac:dyDescent="0.3">
      <c r="F77" s="8" t="str">
        <f>IF(ISNUMBER(A77),A77,"")</f>
        <v/>
      </c>
      <c r="K77" s="9" t="str">
        <f t="shared" si="0"/>
        <v/>
      </c>
    </row>
    <row r="78" spans="6:11" x14ac:dyDescent="0.3">
      <c r="F78" s="8" t="str">
        <f>IF(ISNUMBER(A78),A78,"")</f>
        <v/>
      </c>
      <c r="K78" s="9" t="str">
        <f t="shared" si="0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8"/>
  <sheetViews>
    <sheetView workbookViewId="0">
      <selection activeCell="A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12.453125" style="11" customWidth="1"/>
    <col min="8" max="10" width="9.1796875" style="4" customWidth="1"/>
    <col min="11" max="11" width="9.1796875" style="6" customWidth="1"/>
    <col min="12" max="12" width="10.1796875" style="12" customWidth="1"/>
    <col min="13" max="15" width="9.1796875" style="6" customWidth="1"/>
  </cols>
  <sheetData>
    <row r="1" spans="1:15" x14ac:dyDescent="0.3">
      <c r="A1" s="1" t="s">
        <v>32</v>
      </c>
      <c r="F1" s="3" t="s">
        <v>33</v>
      </c>
      <c r="K1" s="5" t="s">
        <v>34</v>
      </c>
    </row>
    <row r="2" spans="1:15" s="80" customFormat="1" ht="23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5" x14ac:dyDescent="0.3">
      <c r="A3" s="7">
        <v>21456</v>
      </c>
      <c r="B3" s="10">
        <v>124</v>
      </c>
      <c r="C3" s="20">
        <v>158</v>
      </c>
      <c r="D3" s="2">
        <f>67.91+16.2+12.63</f>
        <v>96.74</v>
      </c>
      <c r="E3" s="16">
        <f t="shared" ref="E3:E13" si="0">D3+C3</f>
        <v>254.74</v>
      </c>
      <c r="F3" s="8">
        <f t="shared" ref="F3:F34" si="1">IF(ISNUMBER(A3),A3,"")</f>
        <v>21456</v>
      </c>
      <c r="G3" s="11">
        <v>126</v>
      </c>
      <c r="H3" s="22">
        <v>164</v>
      </c>
      <c r="I3" s="4">
        <f>107.83</f>
        <v>107.83</v>
      </c>
      <c r="J3" s="17">
        <f t="shared" ref="J3:J13" si="2">I3+H3</f>
        <v>271.83</v>
      </c>
      <c r="K3" s="9">
        <f t="shared" ref="K3:K34" si="3">IF(ISNUMBER(F3),F3,"")</f>
        <v>21456</v>
      </c>
      <c r="L3" s="12">
        <v>128</v>
      </c>
      <c r="M3" s="6">
        <v>142</v>
      </c>
      <c r="N3" s="6">
        <f>118.85+80</f>
        <v>198.85</v>
      </c>
      <c r="O3" s="18">
        <f t="shared" ref="O3:O20" si="4">N3+M3</f>
        <v>340.85</v>
      </c>
    </row>
    <row r="4" spans="1:15" x14ac:dyDescent="0.3">
      <c r="A4" s="7">
        <v>22211</v>
      </c>
      <c r="B4" s="10">
        <v>124</v>
      </c>
      <c r="C4" s="20">
        <v>149.6</v>
      </c>
      <c r="D4" s="2">
        <f>67.91+16.2+12.63</f>
        <v>96.74</v>
      </c>
      <c r="E4" s="16">
        <f t="shared" si="0"/>
        <v>246.33999999999997</v>
      </c>
      <c r="F4" s="8">
        <f t="shared" si="1"/>
        <v>22211</v>
      </c>
      <c r="G4" s="11">
        <v>126</v>
      </c>
      <c r="H4" s="22">
        <v>155.9</v>
      </c>
      <c r="I4" s="4">
        <f t="shared" ref="I4:I10" si="5">107.83</f>
        <v>107.83</v>
      </c>
      <c r="J4" s="17">
        <f t="shared" si="2"/>
        <v>263.73</v>
      </c>
      <c r="K4" s="9">
        <f t="shared" si="3"/>
        <v>22211</v>
      </c>
      <c r="L4" s="12">
        <v>128</v>
      </c>
      <c r="M4" s="6">
        <v>129.6</v>
      </c>
      <c r="N4" s="6">
        <f t="shared" ref="N4:N9" si="6">118.85+80</f>
        <v>198.85</v>
      </c>
      <c r="O4" s="18">
        <f t="shared" si="4"/>
        <v>328.45</v>
      </c>
    </row>
    <row r="5" spans="1:15" x14ac:dyDescent="0.3">
      <c r="A5" s="7">
        <v>23950</v>
      </c>
      <c r="B5" s="10">
        <v>124</v>
      </c>
      <c r="C5" s="20">
        <v>121.8</v>
      </c>
      <c r="D5" s="2">
        <f>67.91+16.2+12.63</f>
        <v>96.74</v>
      </c>
      <c r="E5" s="16">
        <f t="shared" si="0"/>
        <v>218.54</v>
      </c>
      <c r="F5" s="8">
        <f t="shared" si="1"/>
        <v>23950</v>
      </c>
      <c r="G5" s="11">
        <v>126</v>
      </c>
      <c r="H5" s="22">
        <v>130.6</v>
      </c>
      <c r="I5" s="4">
        <f t="shared" si="5"/>
        <v>107.83</v>
      </c>
      <c r="J5" s="17">
        <f t="shared" si="2"/>
        <v>238.43</v>
      </c>
      <c r="K5" s="9">
        <f t="shared" si="3"/>
        <v>23950</v>
      </c>
      <c r="L5" s="12">
        <v>128</v>
      </c>
      <c r="M5" s="6">
        <v>105.3</v>
      </c>
      <c r="N5" s="6">
        <f t="shared" si="6"/>
        <v>198.85</v>
      </c>
      <c r="O5" s="18">
        <f t="shared" si="4"/>
        <v>304.14999999999998</v>
      </c>
    </row>
    <row r="6" spans="1:15" x14ac:dyDescent="0.3">
      <c r="A6" s="7">
        <v>25764</v>
      </c>
      <c r="B6" s="10">
        <v>124</v>
      </c>
      <c r="C6" s="20">
        <v>96</v>
      </c>
      <c r="D6" s="2">
        <f>67.91+16.2+12.63</f>
        <v>96.74</v>
      </c>
      <c r="E6" s="16">
        <f t="shared" si="0"/>
        <v>192.74</v>
      </c>
      <c r="F6" s="8">
        <f t="shared" si="1"/>
        <v>25764</v>
      </c>
      <c r="G6" s="11">
        <v>126</v>
      </c>
      <c r="H6" s="22">
        <v>104.2</v>
      </c>
      <c r="I6" s="4">
        <f t="shared" si="5"/>
        <v>107.83</v>
      </c>
      <c r="J6" s="17">
        <f t="shared" si="2"/>
        <v>212.03</v>
      </c>
      <c r="K6" s="9">
        <f t="shared" si="3"/>
        <v>25764</v>
      </c>
      <c r="L6" s="12">
        <v>128</v>
      </c>
      <c r="M6" s="6">
        <v>81.2</v>
      </c>
      <c r="N6" s="6">
        <f t="shared" si="6"/>
        <v>198.85</v>
      </c>
      <c r="O6" s="18">
        <f t="shared" si="4"/>
        <v>280.05</v>
      </c>
    </row>
    <row r="7" spans="1:15" x14ac:dyDescent="0.3">
      <c r="A7" s="7">
        <v>27227</v>
      </c>
      <c r="B7" s="10">
        <v>124</v>
      </c>
      <c r="C7" s="20">
        <v>73</v>
      </c>
      <c r="D7" s="2">
        <f>67.91+16.2+12.63</f>
        <v>96.74</v>
      </c>
      <c r="E7" s="16">
        <f t="shared" si="0"/>
        <v>169.74</v>
      </c>
      <c r="F7" s="8">
        <f t="shared" si="1"/>
        <v>27227</v>
      </c>
      <c r="G7" s="11">
        <v>126</v>
      </c>
      <c r="H7" s="22">
        <v>85.6</v>
      </c>
      <c r="I7" s="4">
        <f t="shared" si="5"/>
        <v>107.83</v>
      </c>
      <c r="J7" s="17">
        <f t="shared" si="2"/>
        <v>193.43</v>
      </c>
      <c r="K7" s="9">
        <f t="shared" si="3"/>
        <v>27227</v>
      </c>
      <c r="L7" s="12">
        <v>128</v>
      </c>
      <c r="M7" s="6">
        <v>62.1</v>
      </c>
      <c r="N7" s="6">
        <f t="shared" si="6"/>
        <v>198.85</v>
      </c>
      <c r="O7" s="18">
        <f t="shared" si="4"/>
        <v>260.95</v>
      </c>
    </row>
    <row r="8" spans="1:15" x14ac:dyDescent="0.3">
      <c r="A8" s="7">
        <v>29538</v>
      </c>
      <c r="B8" s="10" t="s">
        <v>36</v>
      </c>
      <c r="C8" s="20">
        <v>16.600000000000001</v>
      </c>
      <c r="D8" s="2">
        <f>96.74+31.82</f>
        <v>128.56</v>
      </c>
      <c r="E8" s="16">
        <f t="shared" si="0"/>
        <v>145.16</v>
      </c>
      <c r="F8" s="8">
        <f t="shared" si="1"/>
        <v>29538</v>
      </c>
      <c r="G8" s="11">
        <v>126</v>
      </c>
      <c r="H8" s="22">
        <v>56.1</v>
      </c>
      <c r="I8" s="4">
        <f t="shared" si="5"/>
        <v>107.83</v>
      </c>
      <c r="J8" s="17">
        <f t="shared" si="2"/>
        <v>163.93</v>
      </c>
      <c r="K8" s="9">
        <f t="shared" si="3"/>
        <v>29538</v>
      </c>
      <c r="L8" s="12">
        <v>128</v>
      </c>
      <c r="M8" s="6">
        <v>40.67</v>
      </c>
      <c r="N8" s="6">
        <f t="shared" si="6"/>
        <v>198.85</v>
      </c>
      <c r="O8" s="18">
        <f t="shared" si="4"/>
        <v>239.51999999999998</v>
      </c>
    </row>
    <row r="9" spans="1:15" x14ac:dyDescent="0.3">
      <c r="A9" s="7">
        <v>31715</v>
      </c>
      <c r="B9" s="10">
        <v>124</v>
      </c>
      <c r="C9" s="20">
        <v>27.1</v>
      </c>
      <c r="D9" s="2">
        <f>67.91+16.2+12.63</f>
        <v>96.74</v>
      </c>
      <c r="E9" s="16">
        <f t="shared" si="0"/>
        <v>123.84</v>
      </c>
      <c r="F9" s="8">
        <f t="shared" si="1"/>
        <v>31715</v>
      </c>
      <c r="G9" s="11">
        <v>126</v>
      </c>
      <c r="H9" s="22">
        <v>33.65</v>
      </c>
      <c r="I9" s="4">
        <f t="shared" si="5"/>
        <v>107.83</v>
      </c>
      <c r="J9" s="17">
        <f t="shared" si="2"/>
        <v>141.47999999999999</v>
      </c>
      <c r="K9" s="9">
        <f t="shared" si="3"/>
        <v>31715</v>
      </c>
      <c r="L9" s="12">
        <v>128</v>
      </c>
      <c r="M9" s="6">
        <v>16.3</v>
      </c>
      <c r="N9" s="6">
        <f t="shared" si="6"/>
        <v>198.85</v>
      </c>
      <c r="O9" s="18">
        <f t="shared" si="4"/>
        <v>215.15</v>
      </c>
    </row>
    <row r="10" spans="1:15" x14ac:dyDescent="0.3">
      <c r="A10" s="7">
        <v>33528</v>
      </c>
      <c r="B10" s="10">
        <v>124</v>
      </c>
      <c r="C10" s="20">
        <v>5.4</v>
      </c>
      <c r="D10" s="2">
        <f>67.91+16.2+12.63</f>
        <v>96.74</v>
      </c>
      <c r="E10" s="16">
        <f t="shared" si="0"/>
        <v>102.14</v>
      </c>
      <c r="F10" s="8">
        <f t="shared" si="1"/>
        <v>33528</v>
      </c>
      <c r="G10" s="11">
        <v>126</v>
      </c>
      <c r="H10" s="22">
        <v>12.63</v>
      </c>
      <c r="I10" s="4">
        <f t="shared" si="5"/>
        <v>107.83</v>
      </c>
      <c r="J10" s="17">
        <f t="shared" si="2"/>
        <v>120.46</v>
      </c>
      <c r="K10" s="9">
        <f t="shared" si="3"/>
        <v>33528</v>
      </c>
      <c r="L10" s="12" t="s">
        <v>41</v>
      </c>
      <c r="M10" s="6">
        <v>73.23</v>
      </c>
      <c r="N10" s="6">
        <v>118.85</v>
      </c>
      <c r="O10" s="18">
        <f t="shared" si="4"/>
        <v>192.07999999999998</v>
      </c>
    </row>
    <row r="11" spans="1:15" x14ac:dyDescent="0.3">
      <c r="A11" s="7">
        <v>34898</v>
      </c>
      <c r="B11" s="10" t="s">
        <v>37</v>
      </c>
      <c r="C11" s="20">
        <v>14.2</v>
      </c>
      <c r="D11" s="2">
        <f>35.42+28.41+4.08</f>
        <v>67.91</v>
      </c>
      <c r="E11" s="16">
        <f t="shared" si="0"/>
        <v>82.11</v>
      </c>
      <c r="F11" s="8">
        <f t="shared" si="1"/>
        <v>34898</v>
      </c>
      <c r="G11" s="11" t="s">
        <v>39</v>
      </c>
      <c r="H11" s="22">
        <v>104.04</v>
      </c>
      <c r="I11" s="4">
        <v>0</v>
      </c>
      <c r="J11" s="17">
        <f t="shared" si="2"/>
        <v>104.04</v>
      </c>
      <c r="K11" s="9">
        <f t="shared" si="3"/>
        <v>34898</v>
      </c>
      <c r="L11" s="12" t="s">
        <v>41</v>
      </c>
      <c r="M11" s="6">
        <v>55.5</v>
      </c>
      <c r="N11" s="6">
        <v>118.85</v>
      </c>
      <c r="O11" s="18">
        <f t="shared" si="4"/>
        <v>174.35</v>
      </c>
    </row>
    <row r="12" spans="1:15" x14ac:dyDescent="0.3">
      <c r="A12" s="7">
        <v>36343</v>
      </c>
      <c r="B12" s="10">
        <v>124</v>
      </c>
      <c r="C12" s="20">
        <v>-22.31</v>
      </c>
      <c r="D12" s="2">
        <f>67.91+16.2+12.63</f>
        <v>96.74</v>
      </c>
      <c r="E12" s="16">
        <f t="shared" si="0"/>
        <v>74.429999999999993</v>
      </c>
      <c r="F12" s="8">
        <f t="shared" si="1"/>
        <v>36343</v>
      </c>
      <c r="G12" s="11" t="s">
        <v>39</v>
      </c>
      <c r="H12" s="22">
        <v>90.13</v>
      </c>
      <c r="I12" s="4">
        <v>0</v>
      </c>
      <c r="J12" s="17">
        <f t="shared" si="2"/>
        <v>90.13</v>
      </c>
      <c r="K12" s="9">
        <f t="shared" si="3"/>
        <v>36343</v>
      </c>
      <c r="L12" s="12" t="s">
        <v>41</v>
      </c>
      <c r="M12" s="6">
        <v>43.13</v>
      </c>
      <c r="N12" s="6">
        <v>118.85</v>
      </c>
      <c r="O12" s="18">
        <f t="shared" si="4"/>
        <v>161.97999999999999</v>
      </c>
    </row>
    <row r="13" spans="1:15" x14ac:dyDescent="0.3">
      <c r="A13" s="7">
        <v>36714</v>
      </c>
      <c r="B13" s="10" t="s">
        <v>38</v>
      </c>
      <c r="C13" s="20">
        <v>27.28</v>
      </c>
      <c r="D13" s="2">
        <f>25.74+9.68</f>
        <v>35.42</v>
      </c>
      <c r="E13" s="16">
        <f t="shared" si="0"/>
        <v>62.7</v>
      </c>
      <c r="F13" s="8">
        <f t="shared" si="1"/>
        <v>36714</v>
      </c>
      <c r="G13" s="11" t="s">
        <v>40</v>
      </c>
      <c r="H13" s="22">
        <v>189.44</v>
      </c>
      <c r="I13" s="4">
        <v>-104.14</v>
      </c>
      <c r="J13" s="17">
        <f t="shared" si="2"/>
        <v>85.3</v>
      </c>
      <c r="K13" s="9">
        <f t="shared" si="3"/>
        <v>36714</v>
      </c>
      <c r="L13" s="12" t="s">
        <v>41</v>
      </c>
      <c r="M13" s="6">
        <v>37.99</v>
      </c>
      <c r="N13" s="6">
        <v>118.85</v>
      </c>
      <c r="O13" s="18">
        <f t="shared" si="4"/>
        <v>156.84</v>
      </c>
    </row>
    <row r="14" spans="1:15" x14ac:dyDescent="0.3">
      <c r="A14" s="7">
        <v>37079</v>
      </c>
      <c r="C14" s="20"/>
      <c r="E14" s="16"/>
      <c r="F14" s="8">
        <f t="shared" si="1"/>
        <v>37079</v>
      </c>
      <c r="H14" s="22"/>
      <c r="J14" s="17"/>
      <c r="K14" s="9">
        <f t="shared" si="3"/>
        <v>37079</v>
      </c>
      <c r="L14" s="27" t="s">
        <v>41</v>
      </c>
      <c r="M14" s="6">
        <v>34.54</v>
      </c>
      <c r="N14" s="6">
        <v>118.85</v>
      </c>
      <c r="O14" s="18">
        <f t="shared" si="4"/>
        <v>153.38999999999999</v>
      </c>
    </row>
    <row r="15" spans="1:15" x14ac:dyDescent="0.3">
      <c r="A15" s="7">
        <v>38636</v>
      </c>
      <c r="B15" s="10" t="s">
        <v>38</v>
      </c>
      <c r="C15" s="20">
        <v>8.4</v>
      </c>
      <c r="D15" s="2">
        <f>25.74+9.68</f>
        <v>35.42</v>
      </c>
      <c r="E15" s="16">
        <f>D15+C15</f>
        <v>43.82</v>
      </c>
      <c r="F15" s="8">
        <f t="shared" si="1"/>
        <v>38636</v>
      </c>
      <c r="G15" s="11" t="s">
        <v>39</v>
      </c>
      <c r="H15" s="22">
        <v>67.430000000000007</v>
      </c>
      <c r="I15" s="4">
        <v>0</v>
      </c>
      <c r="J15" s="17">
        <f t="shared" ref="J15:J20" si="7">I15+H15</f>
        <v>67.430000000000007</v>
      </c>
      <c r="K15" s="9">
        <f t="shared" si="3"/>
        <v>38636</v>
      </c>
      <c r="L15" s="12" t="s">
        <v>41</v>
      </c>
      <c r="M15" s="6">
        <v>18.100000000000001</v>
      </c>
      <c r="N15" s="6">
        <v>118.85</v>
      </c>
      <c r="O15" s="18">
        <f t="shared" si="4"/>
        <v>136.94999999999999</v>
      </c>
    </row>
    <row r="16" spans="1:15" x14ac:dyDescent="0.3">
      <c r="A16" s="7">
        <v>38917</v>
      </c>
      <c r="B16" s="10" t="s">
        <v>38</v>
      </c>
      <c r="C16" s="20">
        <v>5.0999999999999996</v>
      </c>
      <c r="D16" s="2">
        <f>25.74+9.68</f>
        <v>35.42</v>
      </c>
      <c r="E16" s="16">
        <f>D16+C16</f>
        <v>40.520000000000003</v>
      </c>
      <c r="F16" s="8">
        <f t="shared" si="1"/>
        <v>38917</v>
      </c>
      <c r="G16" s="11" t="s">
        <v>39</v>
      </c>
      <c r="H16" s="22">
        <f>(64.71+64.58+64.72)/3</f>
        <v>64.67</v>
      </c>
      <c r="I16" s="4">
        <v>0</v>
      </c>
      <c r="J16" s="17">
        <f t="shared" si="7"/>
        <v>64.67</v>
      </c>
      <c r="K16" s="9">
        <f t="shared" si="3"/>
        <v>38917</v>
      </c>
      <c r="L16" s="27" t="s">
        <v>41</v>
      </c>
      <c r="M16" s="6">
        <v>15.94</v>
      </c>
      <c r="N16" s="6">
        <v>118.85</v>
      </c>
      <c r="O16" s="18">
        <f t="shared" si="4"/>
        <v>134.79</v>
      </c>
    </row>
    <row r="17" spans="1:16" x14ac:dyDescent="0.3">
      <c r="A17" s="7">
        <v>38993</v>
      </c>
      <c r="B17" s="10" t="s">
        <v>38</v>
      </c>
      <c r="C17" s="20">
        <v>3.59</v>
      </c>
      <c r="D17" s="2">
        <f>25.74+9.68</f>
        <v>35.42</v>
      </c>
      <c r="E17" s="16">
        <f>D17+C17</f>
        <v>39.010000000000005</v>
      </c>
      <c r="F17" s="8">
        <f t="shared" si="1"/>
        <v>38993</v>
      </c>
      <c r="G17" s="11" t="s">
        <v>39</v>
      </c>
      <c r="H17" s="22">
        <v>61.92</v>
      </c>
      <c r="I17" s="4">
        <v>0</v>
      </c>
      <c r="J17" s="17">
        <f t="shared" si="7"/>
        <v>61.92</v>
      </c>
      <c r="K17" s="9">
        <f t="shared" si="3"/>
        <v>38993</v>
      </c>
      <c r="L17" s="12" t="s">
        <v>41</v>
      </c>
      <c r="M17" s="6">
        <v>16.5</v>
      </c>
      <c r="N17" s="6">
        <v>118.85</v>
      </c>
      <c r="O17" s="18">
        <f t="shared" si="4"/>
        <v>135.35</v>
      </c>
    </row>
    <row r="18" spans="1:16" x14ac:dyDescent="0.3">
      <c r="A18" s="7">
        <v>40011</v>
      </c>
      <c r="B18" s="10" t="s">
        <v>35</v>
      </c>
      <c r="C18" s="20">
        <v>29.85</v>
      </c>
      <c r="D18" s="2">
        <v>0</v>
      </c>
      <c r="E18" s="16">
        <f>D18+C18</f>
        <v>29.85</v>
      </c>
      <c r="F18" s="8">
        <f t="shared" si="1"/>
        <v>40011</v>
      </c>
      <c r="G18" s="11" t="s">
        <v>64</v>
      </c>
      <c r="H18" s="22">
        <v>50.7</v>
      </c>
      <c r="I18" s="4">
        <v>0</v>
      </c>
      <c r="J18" s="17">
        <f t="shared" si="7"/>
        <v>50.7</v>
      </c>
      <c r="K18" s="9">
        <f t="shared" si="3"/>
        <v>40011</v>
      </c>
      <c r="L18" s="12" t="s">
        <v>66</v>
      </c>
      <c r="M18" s="6">
        <v>243.05</v>
      </c>
      <c r="N18" s="23">
        <v>-115.9</v>
      </c>
      <c r="O18" s="18">
        <f t="shared" si="4"/>
        <v>127.15</v>
      </c>
      <c r="P18" t="s">
        <v>65</v>
      </c>
    </row>
    <row r="19" spans="1:16" x14ac:dyDescent="0.3">
      <c r="A19" s="7">
        <v>40381</v>
      </c>
      <c r="B19" s="10" t="s">
        <v>35</v>
      </c>
      <c r="C19" s="20">
        <v>27.56</v>
      </c>
      <c r="D19" s="2">
        <v>0</v>
      </c>
      <c r="E19" s="1">
        <f>D19+C19</f>
        <v>27.56</v>
      </c>
      <c r="F19" s="8">
        <f t="shared" si="1"/>
        <v>40381</v>
      </c>
      <c r="G19" s="30" t="s">
        <v>103</v>
      </c>
      <c r="H19" s="22">
        <v>49.66</v>
      </c>
      <c r="I19" s="4">
        <v>0</v>
      </c>
      <c r="J19" s="32">
        <f t="shared" si="7"/>
        <v>49.66</v>
      </c>
      <c r="K19" s="9">
        <f t="shared" si="3"/>
        <v>40381</v>
      </c>
      <c r="L19" s="31" t="s">
        <v>104</v>
      </c>
      <c r="M19" s="6">
        <v>123.35</v>
      </c>
      <c r="N19" s="23">
        <v>0</v>
      </c>
      <c r="O19" s="33">
        <f t="shared" si="4"/>
        <v>123.35</v>
      </c>
    </row>
    <row r="20" spans="1:16" x14ac:dyDescent="0.3">
      <c r="A20" s="7">
        <v>40799</v>
      </c>
      <c r="B20" s="10" t="s">
        <v>35</v>
      </c>
      <c r="C20" s="20">
        <v>26.38</v>
      </c>
      <c r="D20" s="2">
        <v>0</v>
      </c>
      <c r="E20" s="16">
        <f>C20+D20</f>
        <v>26.38</v>
      </c>
      <c r="F20" s="8">
        <f t="shared" si="1"/>
        <v>40799</v>
      </c>
      <c r="G20" s="30" t="s">
        <v>111</v>
      </c>
      <c r="H20" s="4">
        <v>177.51</v>
      </c>
      <c r="I20" s="4">
        <v>-128.13</v>
      </c>
      <c r="J20" s="32">
        <f t="shared" si="7"/>
        <v>49.379999999999995</v>
      </c>
      <c r="K20" s="9">
        <f t="shared" si="3"/>
        <v>40799</v>
      </c>
      <c r="L20" s="31" t="s">
        <v>104</v>
      </c>
      <c r="M20" s="6">
        <v>122.69</v>
      </c>
      <c r="N20" s="6">
        <v>0</v>
      </c>
      <c r="O20" s="33">
        <f t="shared" si="4"/>
        <v>122.69</v>
      </c>
    </row>
    <row r="21" spans="1:16" x14ac:dyDescent="0.3">
      <c r="A21" s="7">
        <v>41177</v>
      </c>
      <c r="B21" s="10" t="s">
        <v>35</v>
      </c>
      <c r="C21" s="20">
        <v>25.7</v>
      </c>
      <c r="D21" s="2">
        <v>0</v>
      </c>
      <c r="E21" s="16">
        <f>C21+D21</f>
        <v>25.7</v>
      </c>
      <c r="F21" s="8">
        <f t="shared" si="1"/>
        <v>41177</v>
      </c>
      <c r="K21" s="9">
        <f t="shared" si="3"/>
        <v>41177</v>
      </c>
      <c r="P21" s="29" t="s">
        <v>116</v>
      </c>
    </row>
    <row r="22" spans="1:16" x14ac:dyDescent="0.3">
      <c r="A22" s="7">
        <v>41467</v>
      </c>
      <c r="B22" s="10" t="s">
        <v>35</v>
      </c>
      <c r="C22" s="2">
        <v>24.33</v>
      </c>
      <c r="D22" s="2">
        <v>0</v>
      </c>
      <c r="E22" s="16">
        <f>C22+D22</f>
        <v>24.33</v>
      </c>
      <c r="F22" s="8">
        <f t="shared" si="1"/>
        <v>41467</v>
      </c>
      <c r="G22" s="30" t="s">
        <v>122</v>
      </c>
      <c r="H22" s="4">
        <v>173.99</v>
      </c>
      <c r="I22" s="4">
        <v>-128.13</v>
      </c>
      <c r="J22" s="32">
        <f t="shared" ref="J22:J27" si="8">I22+H22</f>
        <v>45.860000000000014</v>
      </c>
      <c r="K22" s="9">
        <f t="shared" si="3"/>
        <v>41467</v>
      </c>
      <c r="L22" s="12" t="s">
        <v>66</v>
      </c>
      <c r="M22" s="23">
        <v>234</v>
      </c>
      <c r="N22" s="6">
        <v>-115.99</v>
      </c>
      <c r="O22" s="33">
        <f t="shared" ref="O22:O27" si="9">N22+M22</f>
        <v>118.01</v>
      </c>
    </row>
    <row r="23" spans="1:16" x14ac:dyDescent="0.3">
      <c r="A23" s="7">
        <v>42199</v>
      </c>
      <c r="B23" s="28" t="s">
        <v>97</v>
      </c>
      <c r="C23" s="2">
        <v>22.1</v>
      </c>
      <c r="D23" s="2">
        <v>0</v>
      </c>
      <c r="E23" s="16">
        <f>C23+D23</f>
        <v>22.1</v>
      </c>
      <c r="F23" s="8">
        <f t="shared" si="1"/>
        <v>42199</v>
      </c>
      <c r="G23" s="11" t="s">
        <v>131</v>
      </c>
      <c r="H23" s="4">
        <v>229.35</v>
      </c>
      <c r="I23" s="4">
        <v>-174.72</v>
      </c>
      <c r="J23" s="143">
        <f t="shared" si="8"/>
        <v>54.629999999999995</v>
      </c>
      <c r="K23" s="9">
        <f t="shared" si="3"/>
        <v>42199</v>
      </c>
      <c r="L23" s="31" t="s">
        <v>66</v>
      </c>
      <c r="M23" s="6">
        <v>228.43</v>
      </c>
      <c r="N23" s="6">
        <v>-115.99</v>
      </c>
      <c r="O23" s="33">
        <f t="shared" si="9"/>
        <v>112.44000000000001</v>
      </c>
      <c r="P23" s="29" t="s">
        <v>134</v>
      </c>
    </row>
    <row r="24" spans="1:16" x14ac:dyDescent="0.3">
      <c r="A24" s="7">
        <v>42516</v>
      </c>
      <c r="B24" s="28" t="s">
        <v>97</v>
      </c>
      <c r="C24" s="2">
        <v>19.920000000000002</v>
      </c>
      <c r="D24" s="2">
        <v>0</v>
      </c>
      <c r="E24" s="1">
        <f>C24+D24</f>
        <v>19.920000000000002</v>
      </c>
      <c r="F24" s="8">
        <f t="shared" si="1"/>
        <v>42516</v>
      </c>
      <c r="G24" s="11" t="s">
        <v>131</v>
      </c>
      <c r="H24" s="4">
        <v>216.72</v>
      </c>
      <c r="I24" s="4">
        <v>-174.72</v>
      </c>
      <c r="J24" s="50">
        <f t="shared" si="8"/>
        <v>42</v>
      </c>
      <c r="K24" s="9">
        <f t="shared" si="3"/>
        <v>42516</v>
      </c>
      <c r="L24" s="12" t="s">
        <v>66</v>
      </c>
      <c r="M24" s="6">
        <v>225.98</v>
      </c>
      <c r="N24" s="6">
        <v>-115.99</v>
      </c>
      <c r="O24" s="33">
        <f t="shared" si="9"/>
        <v>109.99</v>
      </c>
      <c r="P24" s="29" t="s">
        <v>134</v>
      </c>
    </row>
    <row r="25" spans="1:16" x14ac:dyDescent="0.3">
      <c r="A25" s="7">
        <v>44385</v>
      </c>
      <c r="B25" s="28" t="s">
        <v>97</v>
      </c>
      <c r="F25" s="8">
        <f t="shared" si="1"/>
        <v>44385</v>
      </c>
      <c r="G25" s="30" t="s">
        <v>165</v>
      </c>
      <c r="H25" s="4">
        <v>239.22</v>
      </c>
      <c r="I25" s="4">
        <v>-210.89</v>
      </c>
      <c r="J25" s="32">
        <f t="shared" si="8"/>
        <v>28.330000000000013</v>
      </c>
      <c r="K25" s="9">
        <f t="shared" si="3"/>
        <v>44385</v>
      </c>
      <c r="L25" s="31" t="s">
        <v>166</v>
      </c>
      <c r="M25" s="6">
        <v>211.72</v>
      </c>
      <c r="N25" s="6">
        <v>-115.99</v>
      </c>
      <c r="O25" s="33">
        <f t="shared" si="9"/>
        <v>95.73</v>
      </c>
      <c r="P25" s="29" t="s">
        <v>164</v>
      </c>
    </row>
    <row r="26" spans="1:16" x14ac:dyDescent="0.3">
      <c r="A26" s="7">
        <v>44846</v>
      </c>
      <c r="B26" s="10" t="s">
        <v>97</v>
      </c>
      <c r="F26" s="8">
        <f t="shared" si="1"/>
        <v>44846</v>
      </c>
      <c r="G26" s="11" t="s">
        <v>131</v>
      </c>
      <c r="H26" s="4">
        <v>200.01</v>
      </c>
      <c r="I26" s="4">
        <v>-174.72</v>
      </c>
      <c r="J26" s="32">
        <f t="shared" si="8"/>
        <v>25.289999999999992</v>
      </c>
      <c r="K26" s="9">
        <f t="shared" si="3"/>
        <v>44846</v>
      </c>
      <c r="L26" s="31" t="s">
        <v>66</v>
      </c>
      <c r="M26" s="6">
        <v>209.68</v>
      </c>
      <c r="N26" s="6">
        <v>-115.99</v>
      </c>
      <c r="O26" s="33">
        <f t="shared" si="9"/>
        <v>93.690000000000012</v>
      </c>
      <c r="P26" s="29" t="s">
        <v>164</v>
      </c>
    </row>
    <row r="27" spans="1:16" x14ac:dyDescent="0.3">
      <c r="A27" s="7">
        <v>45489</v>
      </c>
      <c r="B27" s="10" t="s">
        <v>97</v>
      </c>
      <c r="F27" s="8">
        <f t="shared" si="1"/>
        <v>45489</v>
      </c>
      <c r="G27" s="11" t="s">
        <v>131</v>
      </c>
      <c r="H27" s="4">
        <v>197.76</v>
      </c>
      <c r="I27" s="4">
        <v>-174.72</v>
      </c>
      <c r="J27" s="32">
        <f t="shared" si="8"/>
        <v>23.039999999999992</v>
      </c>
      <c r="K27" s="9">
        <f t="shared" si="3"/>
        <v>45489</v>
      </c>
      <c r="L27" s="31" t="s">
        <v>66</v>
      </c>
      <c r="M27" s="6">
        <v>204.92</v>
      </c>
      <c r="N27" s="6">
        <v>-115.99</v>
      </c>
      <c r="O27" s="33">
        <f t="shared" si="9"/>
        <v>88.929999999999993</v>
      </c>
      <c r="P27" s="29" t="s">
        <v>164</v>
      </c>
    </row>
    <row r="28" spans="1:16" x14ac:dyDescent="0.3">
      <c r="F28" s="8" t="str">
        <f t="shared" si="1"/>
        <v/>
      </c>
      <c r="K28" s="9" t="str">
        <f t="shared" si="3"/>
        <v/>
      </c>
    </row>
    <row r="29" spans="1:16" x14ac:dyDescent="0.3">
      <c r="F29" s="8" t="str">
        <f t="shared" si="1"/>
        <v/>
      </c>
      <c r="K29" s="9" t="str">
        <f t="shared" si="3"/>
        <v/>
      </c>
    </row>
    <row r="30" spans="1:16" x14ac:dyDescent="0.3">
      <c r="F30" s="8" t="str">
        <f t="shared" si="1"/>
        <v/>
      </c>
      <c r="K30" s="9" t="str">
        <f t="shared" si="3"/>
        <v/>
      </c>
    </row>
    <row r="31" spans="1:16" x14ac:dyDescent="0.3">
      <c r="F31" s="8" t="str">
        <f t="shared" si="1"/>
        <v/>
      </c>
      <c r="K31" s="9" t="str">
        <f t="shared" si="3"/>
        <v/>
      </c>
    </row>
    <row r="32" spans="1:16" x14ac:dyDescent="0.3">
      <c r="F32" s="8" t="str">
        <f t="shared" si="1"/>
        <v/>
      </c>
      <c r="K32" s="9" t="str">
        <f t="shared" si="3"/>
        <v/>
      </c>
    </row>
    <row r="33" spans="6:11" x14ac:dyDescent="0.3">
      <c r="F33" s="8" t="str">
        <f t="shared" si="1"/>
        <v/>
      </c>
      <c r="K33" s="9" t="str">
        <f t="shared" si="3"/>
        <v/>
      </c>
    </row>
    <row r="34" spans="6:11" x14ac:dyDescent="0.3">
      <c r="F34" s="8" t="str">
        <f t="shared" si="1"/>
        <v/>
      </c>
      <c r="K34" s="9" t="str">
        <f t="shared" si="3"/>
        <v/>
      </c>
    </row>
    <row r="35" spans="6:11" x14ac:dyDescent="0.3">
      <c r="F35" s="8" t="str">
        <f t="shared" ref="F35:F66" si="10">IF(ISNUMBER(A35),A35,"")</f>
        <v/>
      </c>
      <c r="K35" s="9" t="str">
        <f t="shared" ref="K35:K69" si="11">IF(ISNUMBER(F35),F35,"")</f>
        <v/>
      </c>
    </row>
    <row r="36" spans="6:11" x14ac:dyDescent="0.3">
      <c r="F36" s="8" t="str">
        <f t="shared" si="10"/>
        <v/>
      </c>
      <c r="K36" s="9" t="str">
        <f t="shared" si="11"/>
        <v/>
      </c>
    </row>
    <row r="37" spans="6:11" x14ac:dyDescent="0.3">
      <c r="F37" s="8" t="str">
        <f t="shared" si="10"/>
        <v/>
      </c>
      <c r="K37" s="9" t="str">
        <f t="shared" si="11"/>
        <v/>
      </c>
    </row>
    <row r="38" spans="6:11" x14ac:dyDescent="0.3">
      <c r="F38" s="8" t="str">
        <f t="shared" si="10"/>
        <v/>
      </c>
      <c r="K38" s="9" t="str">
        <f t="shared" si="11"/>
        <v/>
      </c>
    </row>
    <row r="39" spans="6:11" x14ac:dyDescent="0.3">
      <c r="F39" s="8" t="str">
        <f t="shared" si="10"/>
        <v/>
      </c>
      <c r="K39" s="9" t="str">
        <f t="shared" si="11"/>
        <v/>
      </c>
    </row>
    <row r="40" spans="6:11" x14ac:dyDescent="0.3">
      <c r="F40" s="8" t="str">
        <f t="shared" si="10"/>
        <v/>
      </c>
      <c r="K40" s="9" t="str">
        <f t="shared" si="11"/>
        <v/>
      </c>
    </row>
    <row r="41" spans="6:11" x14ac:dyDescent="0.3">
      <c r="F41" s="8" t="str">
        <f t="shared" si="10"/>
        <v/>
      </c>
      <c r="K41" s="9" t="str">
        <f t="shared" si="11"/>
        <v/>
      </c>
    </row>
    <row r="42" spans="6:11" x14ac:dyDescent="0.3">
      <c r="F42" s="8" t="str">
        <f t="shared" si="10"/>
        <v/>
      </c>
      <c r="K42" s="9" t="str">
        <f t="shared" si="11"/>
        <v/>
      </c>
    </row>
    <row r="43" spans="6:11" x14ac:dyDescent="0.3">
      <c r="F43" s="8" t="str">
        <f t="shared" si="10"/>
        <v/>
      </c>
      <c r="K43" s="9" t="str">
        <f t="shared" si="11"/>
        <v/>
      </c>
    </row>
    <row r="44" spans="6:11" x14ac:dyDescent="0.3">
      <c r="F44" s="8" t="str">
        <f t="shared" si="10"/>
        <v/>
      </c>
      <c r="K44" s="9" t="str">
        <f t="shared" si="11"/>
        <v/>
      </c>
    </row>
    <row r="45" spans="6:11" x14ac:dyDescent="0.3">
      <c r="F45" s="8" t="str">
        <f t="shared" si="10"/>
        <v/>
      </c>
      <c r="K45" s="9" t="str">
        <f t="shared" si="11"/>
        <v/>
      </c>
    </row>
    <row r="46" spans="6:11" x14ac:dyDescent="0.3">
      <c r="F46" s="8" t="str">
        <f t="shared" si="10"/>
        <v/>
      </c>
      <c r="K46" s="9" t="str">
        <f t="shared" si="11"/>
        <v/>
      </c>
    </row>
    <row r="47" spans="6:11" x14ac:dyDescent="0.3">
      <c r="F47" s="8" t="str">
        <f t="shared" si="10"/>
        <v/>
      </c>
      <c r="K47" s="9" t="str">
        <f t="shared" si="11"/>
        <v/>
      </c>
    </row>
    <row r="48" spans="6:11" x14ac:dyDescent="0.3">
      <c r="F48" s="8" t="str">
        <f t="shared" si="10"/>
        <v/>
      </c>
      <c r="K48" s="9" t="str">
        <f t="shared" si="11"/>
        <v/>
      </c>
    </row>
    <row r="49" spans="6:11" x14ac:dyDescent="0.3">
      <c r="F49" s="8" t="str">
        <f t="shared" si="10"/>
        <v/>
      </c>
      <c r="K49" s="9" t="str">
        <f t="shared" si="11"/>
        <v/>
      </c>
    </row>
    <row r="50" spans="6:11" x14ac:dyDescent="0.3">
      <c r="F50" s="8" t="str">
        <f t="shared" si="10"/>
        <v/>
      </c>
      <c r="K50" s="9" t="str">
        <f t="shared" si="11"/>
        <v/>
      </c>
    </row>
    <row r="51" spans="6:11" x14ac:dyDescent="0.3">
      <c r="F51" s="8" t="str">
        <f t="shared" si="10"/>
        <v/>
      </c>
      <c r="K51" s="9" t="str">
        <f t="shared" si="11"/>
        <v/>
      </c>
    </row>
    <row r="52" spans="6:11" x14ac:dyDescent="0.3">
      <c r="F52" s="8" t="str">
        <f t="shared" si="10"/>
        <v/>
      </c>
      <c r="K52" s="9" t="str">
        <f t="shared" si="11"/>
        <v/>
      </c>
    </row>
    <row r="53" spans="6:11" x14ac:dyDescent="0.3">
      <c r="F53" s="8" t="str">
        <f t="shared" si="10"/>
        <v/>
      </c>
      <c r="K53" s="9" t="str">
        <f t="shared" si="11"/>
        <v/>
      </c>
    </row>
    <row r="54" spans="6:11" x14ac:dyDescent="0.3">
      <c r="F54" s="8" t="str">
        <f t="shared" si="10"/>
        <v/>
      </c>
      <c r="K54" s="9" t="str">
        <f t="shared" si="11"/>
        <v/>
      </c>
    </row>
    <row r="55" spans="6:11" x14ac:dyDescent="0.3">
      <c r="F55" s="8" t="str">
        <f t="shared" si="10"/>
        <v/>
      </c>
      <c r="K55" s="9" t="str">
        <f t="shared" si="11"/>
        <v/>
      </c>
    </row>
    <row r="56" spans="6:11" x14ac:dyDescent="0.3">
      <c r="F56" s="8" t="str">
        <f t="shared" si="10"/>
        <v/>
      </c>
      <c r="K56" s="9" t="str">
        <f t="shared" si="11"/>
        <v/>
      </c>
    </row>
    <row r="57" spans="6:11" x14ac:dyDescent="0.3">
      <c r="F57" s="8" t="str">
        <f t="shared" si="10"/>
        <v/>
      </c>
      <c r="K57" s="9" t="str">
        <f t="shared" si="11"/>
        <v/>
      </c>
    </row>
    <row r="58" spans="6:11" x14ac:dyDescent="0.3">
      <c r="F58" s="8" t="str">
        <f t="shared" si="10"/>
        <v/>
      </c>
      <c r="K58" s="9" t="str">
        <f t="shared" si="11"/>
        <v/>
      </c>
    </row>
    <row r="59" spans="6:11" x14ac:dyDescent="0.3">
      <c r="F59" s="8" t="str">
        <f t="shared" si="10"/>
        <v/>
      </c>
      <c r="K59" s="9" t="str">
        <f t="shared" si="11"/>
        <v/>
      </c>
    </row>
    <row r="60" spans="6:11" x14ac:dyDescent="0.3">
      <c r="F60" s="8" t="str">
        <f t="shared" si="10"/>
        <v/>
      </c>
      <c r="K60" s="9" t="str">
        <f t="shared" si="11"/>
        <v/>
      </c>
    </row>
    <row r="61" spans="6:11" x14ac:dyDescent="0.3">
      <c r="F61" s="8" t="str">
        <f t="shared" si="10"/>
        <v/>
      </c>
      <c r="K61" s="9" t="str">
        <f t="shared" si="11"/>
        <v/>
      </c>
    </row>
    <row r="62" spans="6:11" x14ac:dyDescent="0.3">
      <c r="F62" s="8" t="str">
        <f t="shared" si="10"/>
        <v/>
      </c>
      <c r="K62" s="9" t="str">
        <f t="shared" si="11"/>
        <v/>
      </c>
    </row>
    <row r="63" spans="6:11" x14ac:dyDescent="0.3">
      <c r="F63" s="8" t="str">
        <f t="shared" si="10"/>
        <v/>
      </c>
      <c r="K63" s="9" t="str">
        <f t="shared" si="11"/>
        <v/>
      </c>
    </row>
    <row r="64" spans="6:11" x14ac:dyDescent="0.3">
      <c r="F64" s="8" t="str">
        <f t="shared" si="10"/>
        <v/>
      </c>
      <c r="K64" s="9" t="str">
        <f t="shared" si="11"/>
        <v/>
      </c>
    </row>
    <row r="65" spans="6:11" x14ac:dyDescent="0.3">
      <c r="F65" s="8" t="str">
        <f t="shared" si="10"/>
        <v/>
      </c>
      <c r="K65" s="9" t="str">
        <f t="shared" si="11"/>
        <v/>
      </c>
    </row>
    <row r="66" spans="6:11" x14ac:dyDescent="0.3">
      <c r="F66" s="8" t="str">
        <f t="shared" si="10"/>
        <v/>
      </c>
      <c r="K66" s="9" t="str">
        <f t="shared" si="11"/>
        <v/>
      </c>
    </row>
    <row r="67" spans="6:11" x14ac:dyDescent="0.3">
      <c r="F67" s="8" t="str">
        <f t="shared" ref="F67:F78" si="12">IF(ISNUMBER(A67),A67,"")</f>
        <v/>
      </c>
      <c r="K67" s="9" t="str">
        <f t="shared" si="11"/>
        <v/>
      </c>
    </row>
    <row r="68" spans="6:11" x14ac:dyDescent="0.3">
      <c r="F68" s="8" t="str">
        <f t="shared" si="12"/>
        <v/>
      </c>
      <c r="K68" s="9" t="str">
        <f t="shared" si="11"/>
        <v/>
      </c>
    </row>
    <row r="69" spans="6:11" x14ac:dyDescent="0.3">
      <c r="F69" s="8" t="str">
        <f t="shared" si="12"/>
        <v/>
      </c>
      <c r="K69" s="9" t="str">
        <f t="shared" si="11"/>
        <v/>
      </c>
    </row>
    <row r="70" spans="6:11" x14ac:dyDescent="0.3">
      <c r="F70" s="8" t="str">
        <f t="shared" si="12"/>
        <v/>
      </c>
      <c r="K70" s="9" t="str">
        <f t="shared" ref="K70:K78" si="13">IF(ISNUMBER(F70),F70,"")</f>
        <v/>
      </c>
    </row>
    <row r="71" spans="6:11" x14ac:dyDescent="0.3">
      <c r="F71" s="8" t="str">
        <f t="shared" si="12"/>
        <v/>
      </c>
      <c r="K71" s="9" t="str">
        <f t="shared" si="13"/>
        <v/>
      </c>
    </row>
    <row r="72" spans="6:11" x14ac:dyDescent="0.3">
      <c r="F72" s="8" t="str">
        <f t="shared" si="12"/>
        <v/>
      </c>
      <c r="K72" s="9" t="str">
        <f t="shared" si="13"/>
        <v/>
      </c>
    </row>
    <row r="73" spans="6:11" x14ac:dyDescent="0.3">
      <c r="F73" s="8" t="str">
        <f t="shared" si="12"/>
        <v/>
      </c>
      <c r="K73" s="9" t="str">
        <f t="shared" si="13"/>
        <v/>
      </c>
    </row>
    <row r="74" spans="6:11" x14ac:dyDescent="0.3">
      <c r="F74" s="8" t="str">
        <f t="shared" si="12"/>
        <v/>
      </c>
      <c r="K74" s="9" t="str">
        <f t="shared" si="13"/>
        <v/>
      </c>
    </row>
    <row r="75" spans="6:11" x14ac:dyDescent="0.3">
      <c r="F75" s="8" t="str">
        <f t="shared" si="12"/>
        <v/>
      </c>
      <c r="K75" s="9" t="str">
        <f t="shared" si="13"/>
        <v/>
      </c>
    </row>
    <row r="76" spans="6:11" x14ac:dyDescent="0.3">
      <c r="F76" s="8" t="str">
        <f t="shared" si="12"/>
        <v/>
      </c>
      <c r="K76" s="9" t="str">
        <f t="shared" si="13"/>
        <v/>
      </c>
    </row>
    <row r="77" spans="6:11" x14ac:dyDescent="0.3">
      <c r="F77" s="8" t="str">
        <f t="shared" si="12"/>
        <v/>
      </c>
      <c r="K77" s="9" t="str">
        <f t="shared" si="13"/>
        <v/>
      </c>
    </row>
    <row r="78" spans="6:11" x14ac:dyDescent="0.3">
      <c r="F78" s="8" t="str">
        <f t="shared" si="12"/>
        <v/>
      </c>
      <c r="K78" s="9" t="str">
        <f t="shared" si="13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3"/>
  <sheetViews>
    <sheetView workbookViewId="0">
      <selection activeCell="D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9.17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  <col min="16" max="20" width="9.1796875" style="14" customWidth="1"/>
  </cols>
  <sheetData>
    <row r="1" spans="1:21" x14ac:dyDescent="0.3">
      <c r="A1" s="1" t="s">
        <v>19</v>
      </c>
      <c r="F1" s="3" t="s">
        <v>20</v>
      </c>
      <c r="K1" s="5" t="s">
        <v>21</v>
      </c>
      <c r="P1" s="13" t="s">
        <v>43</v>
      </c>
      <c r="U1" s="29" t="s">
        <v>94</v>
      </c>
    </row>
    <row r="2" spans="1:21" s="80" customFormat="1" ht="34.5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  <c r="P2" s="79" t="s">
        <v>146</v>
      </c>
      <c r="Q2" s="79" t="s">
        <v>147</v>
      </c>
      <c r="R2" s="79" t="s">
        <v>148</v>
      </c>
      <c r="S2" s="79" t="s">
        <v>150</v>
      </c>
      <c r="T2" s="79" t="s">
        <v>149</v>
      </c>
    </row>
    <row r="3" spans="1:21" x14ac:dyDescent="0.3">
      <c r="A3" s="7">
        <v>31956</v>
      </c>
      <c r="B3" s="10" t="s">
        <v>22</v>
      </c>
      <c r="C3" s="20">
        <v>4</v>
      </c>
      <c r="D3" s="20">
        <f>44.23+22.4</f>
        <v>66.63</v>
      </c>
      <c r="E3" s="16">
        <f>D3+C3</f>
        <v>70.63</v>
      </c>
      <c r="F3" s="8">
        <f t="shared" ref="F3:F34" si="0">IF(ISNUMBER(A3),A3,"")</f>
        <v>31956</v>
      </c>
      <c r="G3" s="11" t="s">
        <v>23</v>
      </c>
      <c r="H3" s="4">
        <v>4.0999999999999996</v>
      </c>
      <c r="I3" s="4">
        <v>20.170000000000002</v>
      </c>
      <c r="J3" s="17">
        <f t="shared" ref="J3:J16" si="1">I3+H3</f>
        <v>24.270000000000003</v>
      </c>
      <c r="K3" s="9">
        <f t="shared" ref="K3:K34" si="2">IF(ISNUMBER(F3),F3,"")</f>
        <v>31956</v>
      </c>
      <c r="L3" s="12" t="s">
        <v>25</v>
      </c>
      <c r="M3" s="23">
        <v>4</v>
      </c>
      <c r="N3" s="6">
        <f>24.7</f>
        <v>24.7</v>
      </c>
      <c r="O3" s="18">
        <f t="shared" ref="O3:O11" si="3">N3+M3</f>
        <v>28.7</v>
      </c>
      <c r="P3" s="15">
        <f t="shared" ref="P3:P34" si="4">IF(ISNUMBER(K3),K3,"")</f>
        <v>31956</v>
      </c>
    </row>
    <row r="4" spans="1:21" x14ac:dyDescent="0.3">
      <c r="A4" s="7">
        <v>32727</v>
      </c>
      <c r="B4" s="10" t="s">
        <v>42</v>
      </c>
      <c r="C4" s="20">
        <v>1.04</v>
      </c>
      <c r="D4" s="20">
        <f>66.63+1.61+1.34</f>
        <v>69.58</v>
      </c>
      <c r="E4" s="16">
        <f>D4+C4</f>
        <v>70.62</v>
      </c>
      <c r="F4" s="8">
        <f t="shared" si="0"/>
        <v>32727</v>
      </c>
      <c r="G4" s="11" t="s">
        <v>23</v>
      </c>
      <c r="H4" s="4">
        <v>4.0999999999999996</v>
      </c>
      <c r="I4" s="4">
        <v>20.170000000000002</v>
      </c>
      <c r="J4" s="17">
        <f t="shared" si="1"/>
        <v>24.270000000000003</v>
      </c>
      <c r="K4" s="9">
        <f t="shared" si="2"/>
        <v>32727</v>
      </c>
      <c r="L4" s="12" t="s">
        <v>44</v>
      </c>
      <c r="M4" s="23">
        <v>2.4700000000000002</v>
      </c>
      <c r="N4" s="6">
        <f>24.7+1.45</f>
        <v>26.15</v>
      </c>
      <c r="O4" s="18">
        <f t="shared" si="3"/>
        <v>28.619999999999997</v>
      </c>
      <c r="P4" s="15">
        <f t="shared" si="4"/>
        <v>32727</v>
      </c>
    </row>
    <row r="5" spans="1:21" x14ac:dyDescent="0.3">
      <c r="A5" s="7">
        <v>34116</v>
      </c>
      <c r="B5" s="10">
        <v>1</v>
      </c>
      <c r="C5" s="20">
        <v>20.18</v>
      </c>
      <c r="D5" s="20">
        <v>44.23</v>
      </c>
      <c r="E5" s="16">
        <f>D5+C5</f>
        <v>64.41</v>
      </c>
      <c r="F5" s="8">
        <f t="shared" si="0"/>
        <v>34116</v>
      </c>
      <c r="G5" s="11" t="s">
        <v>23</v>
      </c>
      <c r="H5" s="4">
        <v>3.8</v>
      </c>
      <c r="I5" s="4">
        <v>20.170000000000002</v>
      </c>
      <c r="J5" s="17">
        <f t="shared" si="1"/>
        <v>23.970000000000002</v>
      </c>
      <c r="K5" s="9">
        <f t="shared" si="2"/>
        <v>34116</v>
      </c>
      <c r="L5" s="12" t="s">
        <v>25</v>
      </c>
      <c r="M5" s="23">
        <v>3.51</v>
      </c>
      <c r="N5" s="6">
        <f>24.7</f>
        <v>24.7</v>
      </c>
      <c r="O5" s="18">
        <f t="shared" si="3"/>
        <v>28.21</v>
      </c>
      <c r="P5" s="15">
        <f t="shared" si="4"/>
        <v>34116</v>
      </c>
      <c r="Q5" s="14">
        <v>4</v>
      </c>
      <c r="R5" s="36">
        <v>23.03</v>
      </c>
      <c r="S5" s="14">
        <v>20</v>
      </c>
      <c r="T5" s="19">
        <f>S5+R5</f>
        <v>43.03</v>
      </c>
    </row>
    <row r="6" spans="1:21" x14ac:dyDescent="0.3">
      <c r="A6" s="7">
        <v>34901</v>
      </c>
      <c r="B6" s="10">
        <v>1</v>
      </c>
      <c r="C6" s="20">
        <v>15.6</v>
      </c>
      <c r="D6" s="20">
        <v>44.23</v>
      </c>
      <c r="E6" s="16">
        <f>D6+C6</f>
        <v>59.83</v>
      </c>
      <c r="F6" s="8">
        <f t="shared" si="0"/>
        <v>34901</v>
      </c>
      <c r="G6" s="11" t="s">
        <v>23</v>
      </c>
      <c r="H6" s="4">
        <v>3.8</v>
      </c>
      <c r="I6" s="4">
        <v>20.170000000000002</v>
      </c>
      <c r="J6" s="17">
        <f t="shared" si="1"/>
        <v>23.970000000000002</v>
      </c>
      <c r="K6" s="9">
        <f t="shared" si="2"/>
        <v>34901</v>
      </c>
      <c r="L6" s="12" t="s">
        <v>25</v>
      </c>
      <c r="M6" s="23">
        <v>3.67</v>
      </c>
      <c r="N6" s="6">
        <f>24.7</f>
        <v>24.7</v>
      </c>
      <c r="O6" s="18">
        <f t="shared" si="3"/>
        <v>28.369999999999997</v>
      </c>
      <c r="P6" s="15">
        <f t="shared" si="4"/>
        <v>34901</v>
      </c>
      <c r="Q6" s="14">
        <v>4</v>
      </c>
      <c r="R6" s="36">
        <v>17.7</v>
      </c>
      <c r="S6" s="14">
        <v>20</v>
      </c>
      <c r="T6" s="19">
        <f>S6+R6</f>
        <v>37.700000000000003</v>
      </c>
    </row>
    <row r="7" spans="1:21" x14ac:dyDescent="0.3">
      <c r="A7" s="7">
        <v>34985</v>
      </c>
      <c r="B7" s="10">
        <v>1</v>
      </c>
      <c r="C7" s="20">
        <v>15.18</v>
      </c>
      <c r="D7" s="20">
        <v>44.23</v>
      </c>
      <c r="E7" s="16">
        <f>D7+C7</f>
        <v>59.41</v>
      </c>
      <c r="F7" s="8">
        <f t="shared" si="0"/>
        <v>34985</v>
      </c>
      <c r="G7" s="11" t="s">
        <v>23</v>
      </c>
      <c r="H7" s="4">
        <v>3.78</v>
      </c>
      <c r="I7" s="4">
        <v>20.170000000000002</v>
      </c>
      <c r="J7" s="17">
        <f t="shared" si="1"/>
        <v>23.950000000000003</v>
      </c>
      <c r="K7" s="9">
        <f t="shared" si="2"/>
        <v>34985</v>
      </c>
      <c r="L7" s="12" t="s">
        <v>25</v>
      </c>
      <c r="M7" s="23">
        <v>3.59</v>
      </c>
      <c r="N7" s="6">
        <f>24.7</f>
        <v>24.7</v>
      </c>
      <c r="O7" s="18">
        <f t="shared" si="3"/>
        <v>28.29</v>
      </c>
      <c r="P7" s="15">
        <f t="shared" si="4"/>
        <v>34985</v>
      </c>
      <c r="Q7" s="14">
        <v>4</v>
      </c>
      <c r="R7" s="36">
        <v>17.690000000000001</v>
      </c>
      <c r="S7" s="14">
        <v>20</v>
      </c>
      <c r="T7" s="19">
        <f>S7+R7</f>
        <v>37.69</v>
      </c>
    </row>
    <row r="8" spans="1:21" x14ac:dyDescent="0.3">
      <c r="A8" s="7">
        <v>36349</v>
      </c>
      <c r="C8" s="20"/>
      <c r="D8" s="20"/>
      <c r="E8" s="16"/>
      <c r="F8" s="8">
        <f t="shared" si="0"/>
        <v>36349</v>
      </c>
      <c r="G8" s="11">
        <v>2</v>
      </c>
      <c r="H8" s="4">
        <v>22.58</v>
      </c>
      <c r="I8" s="4">
        <v>0</v>
      </c>
      <c r="J8" s="17">
        <f t="shared" si="1"/>
        <v>22.58</v>
      </c>
      <c r="K8" s="9">
        <f t="shared" si="2"/>
        <v>36349</v>
      </c>
      <c r="L8" s="12" t="s">
        <v>25</v>
      </c>
      <c r="M8" s="23">
        <v>1.86</v>
      </c>
      <c r="N8" s="6">
        <f>24.7</f>
        <v>24.7</v>
      </c>
      <c r="O8" s="18">
        <f t="shared" si="3"/>
        <v>26.56</v>
      </c>
      <c r="P8" s="15">
        <f t="shared" si="4"/>
        <v>36349</v>
      </c>
      <c r="R8" s="36"/>
      <c r="T8" s="19"/>
    </row>
    <row r="9" spans="1:21" x14ac:dyDescent="0.3">
      <c r="A9" s="7">
        <v>36715</v>
      </c>
      <c r="B9" s="10">
        <v>10</v>
      </c>
      <c r="C9" s="20">
        <v>54.28</v>
      </c>
      <c r="D9" s="20">
        <v>0</v>
      </c>
      <c r="E9" s="16">
        <f t="shared" ref="E9:E17" si="5">D9+C9</f>
        <v>54.28</v>
      </c>
      <c r="F9" s="8">
        <f t="shared" si="0"/>
        <v>36715</v>
      </c>
      <c r="G9" s="11" t="s">
        <v>23</v>
      </c>
      <c r="H9" s="4">
        <v>0.6</v>
      </c>
      <c r="I9" s="4">
        <v>20.170000000000002</v>
      </c>
      <c r="J9" s="17">
        <f t="shared" si="1"/>
        <v>20.770000000000003</v>
      </c>
      <c r="K9" s="9">
        <f t="shared" si="2"/>
        <v>36715</v>
      </c>
      <c r="L9" s="12" t="s">
        <v>25</v>
      </c>
      <c r="M9" s="23">
        <v>1.33</v>
      </c>
      <c r="N9" s="6">
        <f>24.7</f>
        <v>24.7</v>
      </c>
      <c r="O9" s="18">
        <f t="shared" si="3"/>
        <v>26.03</v>
      </c>
      <c r="P9" s="15">
        <f t="shared" si="4"/>
        <v>36715</v>
      </c>
      <c r="Q9" s="14">
        <v>4</v>
      </c>
      <c r="R9" s="36">
        <v>10.51</v>
      </c>
      <c r="S9" s="14">
        <v>20</v>
      </c>
      <c r="T9" s="19">
        <f t="shared" ref="T9:T26" si="6">S9+R9</f>
        <v>30.509999999999998</v>
      </c>
    </row>
    <row r="10" spans="1:21" x14ac:dyDescent="0.3">
      <c r="A10" s="7">
        <v>37088</v>
      </c>
      <c r="B10" s="10">
        <v>1</v>
      </c>
      <c r="C10" s="20">
        <v>8.9</v>
      </c>
      <c r="D10" s="20">
        <v>44.23</v>
      </c>
      <c r="E10" s="16">
        <f t="shared" si="5"/>
        <v>53.129999999999995</v>
      </c>
      <c r="F10" s="8">
        <f t="shared" si="0"/>
        <v>37088</v>
      </c>
      <c r="G10" s="25" t="s">
        <v>23</v>
      </c>
      <c r="H10" s="4">
        <v>0.78</v>
      </c>
      <c r="I10" s="4">
        <v>20.170000000000002</v>
      </c>
      <c r="J10" s="17">
        <f t="shared" si="1"/>
        <v>20.950000000000003</v>
      </c>
      <c r="K10" s="9">
        <f t="shared" si="2"/>
        <v>37088</v>
      </c>
      <c r="L10" s="27" t="s">
        <v>25</v>
      </c>
      <c r="M10" s="23">
        <v>1.39</v>
      </c>
      <c r="N10" s="6">
        <v>24.7</v>
      </c>
      <c r="O10" s="18">
        <f t="shared" si="3"/>
        <v>26.09</v>
      </c>
      <c r="P10" s="15">
        <f t="shared" si="4"/>
        <v>37088</v>
      </c>
      <c r="Q10" s="14">
        <v>4</v>
      </c>
      <c r="R10" s="36">
        <v>10.220000000000001</v>
      </c>
      <c r="S10" s="14">
        <v>20</v>
      </c>
      <c r="T10" s="19">
        <f t="shared" si="6"/>
        <v>30.22</v>
      </c>
    </row>
    <row r="11" spans="1:21" x14ac:dyDescent="0.3">
      <c r="A11" s="7">
        <v>37827</v>
      </c>
      <c r="B11" s="10">
        <v>10</v>
      </c>
      <c r="C11" s="20">
        <v>49</v>
      </c>
      <c r="D11" s="20">
        <v>0</v>
      </c>
      <c r="E11" s="16">
        <f t="shared" si="5"/>
        <v>49</v>
      </c>
      <c r="F11" s="8">
        <f t="shared" si="0"/>
        <v>37827</v>
      </c>
      <c r="G11" s="11">
        <v>2</v>
      </c>
      <c r="H11" s="4">
        <v>18.149999999999999</v>
      </c>
      <c r="I11" s="4">
        <v>0</v>
      </c>
      <c r="J11" s="17">
        <f t="shared" si="1"/>
        <v>18.149999999999999</v>
      </c>
      <c r="K11" s="9">
        <f t="shared" si="2"/>
        <v>37827</v>
      </c>
      <c r="L11" s="12" t="s">
        <v>25</v>
      </c>
      <c r="M11" s="23">
        <v>0.1</v>
      </c>
      <c r="N11" s="6">
        <v>24.7</v>
      </c>
      <c r="O11" s="18">
        <f t="shared" si="3"/>
        <v>24.8</v>
      </c>
      <c r="P11" s="15">
        <f t="shared" si="4"/>
        <v>37827</v>
      </c>
      <c r="Q11" s="14">
        <v>4</v>
      </c>
      <c r="R11" s="36">
        <v>5.35</v>
      </c>
      <c r="S11" s="14">
        <v>20</v>
      </c>
      <c r="T11" s="19">
        <f t="shared" si="6"/>
        <v>25.35</v>
      </c>
    </row>
    <row r="12" spans="1:21" x14ac:dyDescent="0.3">
      <c r="A12" s="7">
        <v>38190</v>
      </c>
      <c r="B12" s="10">
        <v>1</v>
      </c>
      <c r="C12" s="20">
        <v>2.76</v>
      </c>
      <c r="D12" s="20">
        <v>44.23</v>
      </c>
      <c r="E12" s="16">
        <f t="shared" si="5"/>
        <v>46.989999999999995</v>
      </c>
      <c r="F12" s="8">
        <f t="shared" si="0"/>
        <v>38190</v>
      </c>
      <c r="G12" s="11">
        <v>2</v>
      </c>
      <c r="H12" s="4">
        <v>17.07</v>
      </c>
      <c r="I12" s="4">
        <v>0</v>
      </c>
      <c r="J12" s="17">
        <f t="shared" si="1"/>
        <v>17.07</v>
      </c>
      <c r="K12" s="9">
        <f t="shared" si="2"/>
        <v>38190</v>
      </c>
      <c r="M12" s="23"/>
      <c r="O12" s="18"/>
      <c r="P12" s="15">
        <f t="shared" si="4"/>
        <v>38190</v>
      </c>
      <c r="Q12" s="14">
        <v>4</v>
      </c>
      <c r="R12" s="36">
        <v>4.5999999999999996</v>
      </c>
      <c r="S12" s="14">
        <v>20</v>
      </c>
      <c r="T12" s="19">
        <f t="shared" si="6"/>
        <v>24.6</v>
      </c>
    </row>
    <row r="13" spans="1:21" x14ac:dyDescent="0.3">
      <c r="A13" s="7">
        <v>38554</v>
      </c>
      <c r="B13" s="10">
        <v>1</v>
      </c>
      <c r="C13" s="20">
        <v>2.61</v>
      </c>
      <c r="D13" s="20">
        <v>44.23</v>
      </c>
      <c r="E13" s="16">
        <f t="shared" si="5"/>
        <v>46.839999999999996</v>
      </c>
      <c r="F13" s="8">
        <f t="shared" si="0"/>
        <v>38554</v>
      </c>
      <c r="G13" s="11">
        <v>2</v>
      </c>
      <c r="H13" s="4">
        <v>15.94</v>
      </c>
      <c r="I13" s="4">
        <v>0</v>
      </c>
      <c r="J13" s="17">
        <f t="shared" si="1"/>
        <v>15.94</v>
      </c>
      <c r="K13" s="9">
        <f t="shared" si="2"/>
        <v>38554</v>
      </c>
      <c r="L13" s="12">
        <v>30</v>
      </c>
      <c r="M13" s="23">
        <v>81.010000000000005</v>
      </c>
      <c r="N13" s="6">
        <v>-57.32</v>
      </c>
      <c r="O13" s="18">
        <f>N13+M13</f>
        <v>23.690000000000005</v>
      </c>
      <c r="P13" s="15">
        <f t="shared" si="4"/>
        <v>38554</v>
      </c>
      <c r="Q13" s="14">
        <v>4</v>
      </c>
      <c r="R13" s="36">
        <v>3.16</v>
      </c>
      <c r="S13" s="14">
        <v>20</v>
      </c>
      <c r="T13" s="19">
        <f t="shared" si="6"/>
        <v>23.16</v>
      </c>
    </row>
    <row r="14" spans="1:21" x14ac:dyDescent="0.3">
      <c r="A14" s="7">
        <v>38921</v>
      </c>
      <c r="B14" s="10">
        <v>1</v>
      </c>
      <c r="C14" s="20">
        <v>1.91</v>
      </c>
      <c r="D14" s="20">
        <v>44.23</v>
      </c>
      <c r="E14" s="16">
        <f t="shared" si="5"/>
        <v>46.139999999999993</v>
      </c>
      <c r="F14" s="8">
        <f t="shared" si="0"/>
        <v>38921</v>
      </c>
      <c r="G14" s="11">
        <v>2</v>
      </c>
      <c r="H14" s="4">
        <v>15.45</v>
      </c>
      <c r="I14" s="4">
        <v>0</v>
      </c>
      <c r="J14" s="17">
        <f t="shared" si="1"/>
        <v>15.45</v>
      </c>
      <c r="K14" s="9">
        <f t="shared" si="2"/>
        <v>38921</v>
      </c>
      <c r="M14" s="23"/>
      <c r="O14" s="18"/>
      <c r="P14" s="15">
        <f t="shared" si="4"/>
        <v>38921</v>
      </c>
      <c r="Q14" s="14">
        <v>4</v>
      </c>
      <c r="R14" s="36">
        <v>1.64</v>
      </c>
      <c r="S14" s="14">
        <v>20</v>
      </c>
      <c r="T14" s="19">
        <f t="shared" si="6"/>
        <v>21.64</v>
      </c>
    </row>
    <row r="15" spans="1:21" x14ac:dyDescent="0.3">
      <c r="A15" s="7">
        <v>38989</v>
      </c>
      <c r="B15" s="10">
        <v>1</v>
      </c>
      <c r="C15" s="20">
        <v>1.96</v>
      </c>
      <c r="D15" s="20">
        <v>44.23</v>
      </c>
      <c r="E15" s="16">
        <f t="shared" si="5"/>
        <v>46.19</v>
      </c>
      <c r="F15" s="8">
        <f t="shared" si="0"/>
        <v>38989</v>
      </c>
      <c r="G15" s="11">
        <v>2</v>
      </c>
      <c r="H15" s="4">
        <v>15.34</v>
      </c>
      <c r="I15" s="4">
        <v>0</v>
      </c>
      <c r="J15" s="17">
        <f t="shared" si="1"/>
        <v>15.34</v>
      </c>
      <c r="K15" s="9">
        <f t="shared" si="2"/>
        <v>38989</v>
      </c>
      <c r="L15" s="12">
        <v>3</v>
      </c>
      <c r="M15" s="23">
        <v>23.63</v>
      </c>
      <c r="N15" s="6">
        <v>0</v>
      </c>
      <c r="O15" s="18">
        <f>N15+M15</f>
        <v>23.63</v>
      </c>
      <c r="P15" s="15">
        <f t="shared" si="4"/>
        <v>38989</v>
      </c>
      <c r="Q15" s="14">
        <v>4</v>
      </c>
      <c r="R15" s="36">
        <v>1.68</v>
      </c>
      <c r="S15" s="14">
        <v>20</v>
      </c>
      <c r="T15" s="19">
        <f t="shared" si="6"/>
        <v>21.68</v>
      </c>
    </row>
    <row r="16" spans="1:21" x14ac:dyDescent="0.3">
      <c r="A16" s="7">
        <v>40012</v>
      </c>
      <c r="B16" s="10">
        <v>11</v>
      </c>
      <c r="C16" s="20">
        <v>13.42</v>
      </c>
      <c r="D16" s="20">
        <v>30</v>
      </c>
      <c r="E16" s="1">
        <f t="shared" si="5"/>
        <v>43.42</v>
      </c>
      <c r="F16" s="8">
        <f t="shared" si="0"/>
        <v>40012</v>
      </c>
      <c r="G16" s="11">
        <v>2</v>
      </c>
      <c r="H16" s="4">
        <v>13.31</v>
      </c>
      <c r="I16" s="4">
        <v>0</v>
      </c>
      <c r="J16" s="17">
        <f t="shared" si="1"/>
        <v>13.31</v>
      </c>
      <c r="K16" s="9">
        <f t="shared" si="2"/>
        <v>40012</v>
      </c>
      <c r="L16" s="12">
        <v>3</v>
      </c>
      <c r="M16" s="23">
        <v>22.24</v>
      </c>
      <c r="N16" s="6">
        <v>0</v>
      </c>
      <c r="O16" s="18">
        <f>N16+M16</f>
        <v>22.24</v>
      </c>
      <c r="P16" s="15">
        <f t="shared" si="4"/>
        <v>40012</v>
      </c>
      <c r="Q16" s="14">
        <v>41</v>
      </c>
      <c r="R16" s="36">
        <v>20.5</v>
      </c>
      <c r="S16" s="14">
        <v>0</v>
      </c>
      <c r="T16" s="19">
        <f t="shared" si="6"/>
        <v>20.5</v>
      </c>
    </row>
    <row r="17" spans="1:21" x14ac:dyDescent="0.3">
      <c r="A17" s="7">
        <v>40086</v>
      </c>
      <c r="B17" s="10">
        <v>11</v>
      </c>
      <c r="C17" s="20">
        <v>13.5</v>
      </c>
      <c r="D17" s="20">
        <v>30</v>
      </c>
      <c r="E17" s="16">
        <f t="shared" si="5"/>
        <v>43.5</v>
      </c>
      <c r="F17" s="8">
        <f t="shared" si="0"/>
        <v>40086</v>
      </c>
      <c r="G17" s="30" t="s">
        <v>97</v>
      </c>
      <c r="H17" s="30" t="s">
        <v>97</v>
      </c>
      <c r="I17" s="30" t="s">
        <v>97</v>
      </c>
      <c r="J17" s="30" t="s">
        <v>97</v>
      </c>
      <c r="K17" s="9">
        <f t="shared" si="2"/>
        <v>40086</v>
      </c>
      <c r="L17" s="12">
        <v>3</v>
      </c>
      <c r="M17" s="23">
        <v>22.1</v>
      </c>
      <c r="N17" s="6">
        <v>0</v>
      </c>
      <c r="O17" s="34">
        <v>22.1</v>
      </c>
      <c r="P17" s="15">
        <f t="shared" si="4"/>
        <v>40086</v>
      </c>
      <c r="Q17" s="14">
        <v>41</v>
      </c>
      <c r="R17" s="36">
        <v>19.7</v>
      </c>
      <c r="S17" s="14">
        <v>0</v>
      </c>
      <c r="T17" s="38">
        <f t="shared" si="6"/>
        <v>19.7</v>
      </c>
      <c r="U17" s="35" t="s">
        <v>98</v>
      </c>
    </row>
    <row r="18" spans="1:21" x14ac:dyDescent="0.3">
      <c r="A18" s="7">
        <v>40382</v>
      </c>
      <c r="D18" s="20"/>
      <c r="F18" s="8">
        <f t="shared" si="0"/>
        <v>40382</v>
      </c>
      <c r="G18" s="11">
        <v>2</v>
      </c>
      <c r="H18" s="4">
        <v>12.88</v>
      </c>
      <c r="I18" s="4">
        <v>0</v>
      </c>
      <c r="J18" s="32">
        <v>12.88</v>
      </c>
      <c r="K18" s="9">
        <f t="shared" si="2"/>
        <v>40382</v>
      </c>
      <c r="L18" s="12">
        <v>3</v>
      </c>
      <c r="M18" s="23">
        <v>21.6</v>
      </c>
      <c r="N18" s="6">
        <v>0</v>
      </c>
      <c r="O18" s="34">
        <v>21.6</v>
      </c>
      <c r="P18" s="15">
        <f t="shared" si="4"/>
        <v>40382</v>
      </c>
      <c r="Q18" s="14">
        <v>41</v>
      </c>
      <c r="R18" s="14">
        <v>19.420000000000002</v>
      </c>
      <c r="S18" s="14">
        <v>0</v>
      </c>
      <c r="T18" s="37">
        <f t="shared" si="6"/>
        <v>19.420000000000002</v>
      </c>
    </row>
    <row r="19" spans="1:21" x14ac:dyDescent="0.3">
      <c r="A19" s="7">
        <v>40801</v>
      </c>
      <c r="B19" s="10">
        <v>11</v>
      </c>
      <c r="C19" s="2">
        <v>13.23</v>
      </c>
      <c r="D19" s="20">
        <v>30</v>
      </c>
      <c r="E19" s="16">
        <f t="shared" ref="E19:E26" si="7">D19+C19</f>
        <v>43.230000000000004</v>
      </c>
      <c r="F19" s="8">
        <f t="shared" si="0"/>
        <v>40801</v>
      </c>
      <c r="G19" s="11">
        <v>2</v>
      </c>
      <c r="H19" s="4">
        <v>12.79</v>
      </c>
      <c r="I19" s="4">
        <v>0</v>
      </c>
      <c r="J19" s="32">
        <v>12.79</v>
      </c>
      <c r="K19" s="9">
        <f t="shared" si="2"/>
        <v>40801</v>
      </c>
      <c r="L19" s="12">
        <v>3</v>
      </c>
      <c r="M19" s="23">
        <v>21.6</v>
      </c>
      <c r="N19" s="6">
        <v>0</v>
      </c>
      <c r="O19" s="18">
        <f>N19+M19</f>
        <v>21.6</v>
      </c>
      <c r="P19" s="15">
        <f t="shared" si="4"/>
        <v>40801</v>
      </c>
      <c r="Q19" s="14">
        <v>41</v>
      </c>
      <c r="R19" s="14">
        <v>19.29</v>
      </c>
      <c r="S19" s="14">
        <v>0</v>
      </c>
      <c r="T19" s="19">
        <f t="shared" si="6"/>
        <v>19.29</v>
      </c>
    </row>
    <row r="20" spans="1:21" x14ac:dyDescent="0.3">
      <c r="A20" s="7">
        <v>41196</v>
      </c>
      <c r="B20" s="10">
        <v>11</v>
      </c>
      <c r="C20" s="2">
        <v>12.73</v>
      </c>
      <c r="D20" s="20">
        <v>30</v>
      </c>
      <c r="E20" s="1">
        <f t="shared" si="7"/>
        <v>42.730000000000004</v>
      </c>
      <c r="F20" s="8">
        <f t="shared" si="0"/>
        <v>41196</v>
      </c>
      <c r="G20" s="11">
        <v>2</v>
      </c>
      <c r="H20" s="4">
        <v>12.79</v>
      </c>
      <c r="I20" s="4">
        <v>0</v>
      </c>
      <c r="J20" s="17">
        <f t="shared" ref="J20:J25" si="8">I20+H20</f>
        <v>12.79</v>
      </c>
      <c r="K20" s="9">
        <f t="shared" si="2"/>
        <v>41196</v>
      </c>
      <c r="P20" s="15">
        <f t="shared" si="4"/>
        <v>41196</v>
      </c>
      <c r="Q20" s="14">
        <v>41</v>
      </c>
      <c r="R20" s="14">
        <v>18.71</v>
      </c>
      <c r="S20" s="14">
        <v>0</v>
      </c>
      <c r="T20" s="37">
        <f t="shared" si="6"/>
        <v>18.71</v>
      </c>
      <c r="U20" s="54" t="s">
        <v>117</v>
      </c>
    </row>
    <row r="21" spans="1:21" x14ac:dyDescent="0.3">
      <c r="A21" s="7">
        <v>41465</v>
      </c>
      <c r="B21" s="10">
        <v>11</v>
      </c>
      <c r="C21" s="20">
        <v>12.8</v>
      </c>
      <c r="D21" s="20">
        <v>30</v>
      </c>
      <c r="E21" s="16">
        <f t="shared" si="7"/>
        <v>42.8</v>
      </c>
      <c r="F21" s="8">
        <f t="shared" si="0"/>
        <v>41465</v>
      </c>
      <c r="G21" s="11">
        <v>2</v>
      </c>
      <c r="H21" s="4">
        <v>11.94</v>
      </c>
      <c r="I21" s="4">
        <v>0</v>
      </c>
      <c r="J21" s="17">
        <f t="shared" si="8"/>
        <v>11.94</v>
      </c>
      <c r="K21" s="9">
        <f t="shared" si="2"/>
        <v>41465</v>
      </c>
      <c r="L21" s="12">
        <v>3</v>
      </c>
      <c r="M21" s="6">
        <v>21.35</v>
      </c>
      <c r="N21" s="6">
        <v>0</v>
      </c>
      <c r="O21" s="18">
        <f t="shared" ref="O21:O26" si="9">N21+M21</f>
        <v>21.35</v>
      </c>
      <c r="P21" s="15">
        <f t="shared" si="4"/>
        <v>41465</v>
      </c>
      <c r="Q21" s="14">
        <v>41</v>
      </c>
      <c r="R21" s="14">
        <v>17.84</v>
      </c>
      <c r="S21" s="14">
        <v>0</v>
      </c>
      <c r="T21" s="37">
        <f t="shared" si="6"/>
        <v>17.84</v>
      </c>
    </row>
    <row r="22" spans="1:21" x14ac:dyDescent="0.3">
      <c r="A22" s="67">
        <v>41832</v>
      </c>
      <c r="B22" s="28">
        <v>11</v>
      </c>
      <c r="C22" s="68">
        <v>12.48</v>
      </c>
      <c r="D22" s="70">
        <v>30</v>
      </c>
      <c r="E22" s="69">
        <f t="shared" si="7"/>
        <v>42.480000000000004</v>
      </c>
      <c r="F22" s="63">
        <f t="shared" si="0"/>
        <v>41832</v>
      </c>
      <c r="G22" s="30">
        <v>2</v>
      </c>
      <c r="H22" s="64">
        <v>10.39</v>
      </c>
      <c r="I22" s="64">
        <v>0</v>
      </c>
      <c r="J22" s="50">
        <f t="shared" si="8"/>
        <v>10.39</v>
      </c>
      <c r="K22" s="65">
        <f t="shared" si="2"/>
        <v>41832</v>
      </c>
      <c r="L22" s="31">
        <v>3</v>
      </c>
      <c r="M22" s="138">
        <v>20.7</v>
      </c>
      <c r="N22" s="66">
        <v>0</v>
      </c>
      <c r="O22" s="34">
        <f t="shared" si="9"/>
        <v>20.7</v>
      </c>
      <c r="P22" s="71">
        <f t="shared" si="4"/>
        <v>41832</v>
      </c>
      <c r="Q22" s="72">
        <v>41</v>
      </c>
      <c r="R22" s="72">
        <v>17.670000000000002</v>
      </c>
      <c r="S22" s="72">
        <v>0</v>
      </c>
      <c r="T22" s="37">
        <f t="shared" si="6"/>
        <v>17.670000000000002</v>
      </c>
      <c r="U22" s="62"/>
    </row>
    <row r="23" spans="1:21" x14ac:dyDescent="0.3">
      <c r="A23" s="7">
        <v>42515</v>
      </c>
      <c r="B23" s="10">
        <v>11</v>
      </c>
      <c r="C23" s="2">
        <v>12.15</v>
      </c>
      <c r="D23" s="70">
        <v>30</v>
      </c>
      <c r="E23" s="69">
        <f t="shared" si="7"/>
        <v>42.15</v>
      </c>
      <c r="F23" s="8">
        <f t="shared" si="0"/>
        <v>42515</v>
      </c>
      <c r="G23" s="11">
        <v>2</v>
      </c>
      <c r="H23" s="4">
        <v>8.7100000000000009</v>
      </c>
      <c r="I23" s="4">
        <v>0</v>
      </c>
      <c r="J23" s="50">
        <f t="shared" si="8"/>
        <v>8.7100000000000009</v>
      </c>
      <c r="K23" s="9">
        <f t="shared" si="2"/>
        <v>42515</v>
      </c>
      <c r="L23" s="12">
        <v>3</v>
      </c>
      <c r="M23" s="66">
        <v>20.72</v>
      </c>
      <c r="N23" s="6">
        <v>0</v>
      </c>
      <c r="O23" s="140">
        <f t="shared" si="9"/>
        <v>20.72</v>
      </c>
      <c r="P23" s="15">
        <f t="shared" si="4"/>
        <v>42515</v>
      </c>
      <c r="Q23" s="14">
        <v>41</v>
      </c>
      <c r="R23" s="72">
        <v>16.13</v>
      </c>
      <c r="S23" s="72">
        <v>0</v>
      </c>
      <c r="T23" s="37">
        <f t="shared" si="6"/>
        <v>16.13</v>
      </c>
      <c r="U23" s="29" t="s">
        <v>136</v>
      </c>
    </row>
    <row r="24" spans="1:21" x14ac:dyDescent="0.3">
      <c r="A24" s="7">
        <v>43690</v>
      </c>
      <c r="B24" s="10">
        <v>11</v>
      </c>
      <c r="C24" s="2">
        <v>7.54</v>
      </c>
      <c r="D24" s="20">
        <v>30</v>
      </c>
      <c r="E24" s="69">
        <f t="shared" si="7"/>
        <v>37.54</v>
      </c>
      <c r="F24" s="8">
        <f t="shared" si="0"/>
        <v>43690</v>
      </c>
      <c r="G24" s="11">
        <v>2</v>
      </c>
      <c r="H24" s="22">
        <v>3.5</v>
      </c>
      <c r="I24" s="4">
        <v>0</v>
      </c>
      <c r="J24" s="50">
        <f t="shared" si="8"/>
        <v>3.5</v>
      </c>
      <c r="K24" s="9">
        <f t="shared" si="2"/>
        <v>43690</v>
      </c>
      <c r="L24" s="12">
        <v>3</v>
      </c>
      <c r="M24" s="6">
        <v>17.09</v>
      </c>
      <c r="N24" s="6">
        <v>0</v>
      </c>
      <c r="O24" s="34">
        <f t="shared" si="9"/>
        <v>17.09</v>
      </c>
      <c r="P24" s="15">
        <f t="shared" si="4"/>
        <v>43690</v>
      </c>
      <c r="Q24" s="14">
        <v>41</v>
      </c>
      <c r="R24" s="36">
        <v>11.9</v>
      </c>
      <c r="S24" s="14">
        <v>0</v>
      </c>
      <c r="T24" s="38">
        <f t="shared" si="6"/>
        <v>11.9</v>
      </c>
    </row>
    <row r="25" spans="1:21" x14ac:dyDescent="0.3">
      <c r="A25" s="7">
        <v>44090</v>
      </c>
      <c r="B25" s="10">
        <v>11</v>
      </c>
      <c r="C25" s="2">
        <v>5.79</v>
      </c>
      <c r="D25" s="20">
        <v>30</v>
      </c>
      <c r="E25" s="69">
        <f t="shared" si="7"/>
        <v>35.79</v>
      </c>
      <c r="F25" s="8">
        <f t="shared" si="0"/>
        <v>44090</v>
      </c>
      <c r="G25" s="11">
        <v>2</v>
      </c>
      <c r="H25" s="4">
        <v>3.16</v>
      </c>
      <c r="I25" s="4">
        <v>0</v>
      </c>
      <c r="J25" s="32">
        <f t="shared" si="8"/>
        <v>3.16</v>
      </c>
      <c r="K25" s="9">
        <f t="shared" si="2"/>
        <v>44090</v>
      </c>
      <c r="L25" s="12">
        <v>3</v>
      </c>
      <c r="M25" s="6">
        <v>16.98</v>
      </c>
      <c r="N25" s="6">
        <v>0</v>
      </c>
      <c r="O25" s="33">
        <f t="shared" si="9"/>
        <v>16.98</v>
      </c>
      <c r="P25" s="15">
        <f t="shared" si="4"/>
        <v>44090</v>
      </c>
      <c r="Q25" s="14">
        <v>41</v>
      </c>
      <c r="R25" s="14">
        <v>10.75</v>
      </c>
      <c r="S25" s="14">
        <v>0</v>
      </c>
      <c r="T25" s="37">
        <f t="shared" si="6"/>
        <v>10.75</v>
      </c>
      <c r="U25" t="s">
        <v>162</v>
      </c>
    </row>
    <row r="26" spans="1:21" x14ac:dyDescent="0.3">
      <c r="A26" s="7">
        <v>44775</v>
      </c>
      <c r="B26" s="10">
        <v>11</v>
      </c>
      <c r="C26" s="2">
        <v>4.58</v>
      </c>
      <c r="D26" s="20">
        <v>30</v>
      </c>
      <c r="E26" s="1">
        <f t="shared" si="7"/>
        <v>34.58</v>
      </c>
      <c r="F26" s="8">
        <f t="shared" si="0"/>
        <v>44775</v>
      </c>
      <c r="G26" s="30" t="s">
        <v>97</v>
      </c>
      <c r="K26" s="9">
        <f t="shared" si="2"/>
        <v>44775</v>
      </c>
      <c r="L26" s="12">
        <v>3</v>
      </c>
      <c r="M26" s="6">
        <v>16.54</v>
      </c>
      <c r="N26" s="6">
        <v>0</v>
      </c>
      <c r="O26" s="33">
        <f t="shared" si="9"/>
        <v>16.54</v>
      </c>
      <c r="P26" s="15">
        <f t="shared" si="4"/>
        <v>44775</v>
      </c>
      <c r="Q26" s="14">
        <v>41</v>
      </c>
      <c r="R26" s="14">
        <v>8.83</v>
      </c>
      <c r="S26" s="14">
        <v>0</v>
      </c>
      <c r="T26" s="37">
        <f t="shared" si="6"/>
        <v>8.83</v>
      </c>
      <c r="U26" s="29" t="s">
        <v>167</v>
      </c>
    </row>
    <row r="27" spans="1:21" x14ac:dyDescent="0.3">
      <c r="F27" s="8" t="str">
        <f t="shared" si="0"/>
        <v/>
      </c>
      <c r="K27" s="9" t="str">
        <f t="shared" si="2"/>
        <v/>
      </c>
      <c r="P27" s="15" t="str">
        <f t="shared" si="4"/>
        <v/>
      </c>
    </row>
    <row r="28" spans="1:21" x14ac:dyDescent="0.3">
      <c r="F28" s="8" t="str">
        <f t="shared" si="0"/>
        <v/>
      </c>
      <c r="K28" s="9" t="str">
        <f t="shared" si="2"/>
        <v/>
      </c>
      <c r="P28" s="15" t="str">
        <f t="shared" si="4"/>
        <v/>
      </c>
    </row>
    <row r="29" spans="1:21" x14ac:dyDescent="0.3">
      <c r="F29" s="8" t="str">
        <f t="shared" si="0"/>
        <v/>
      </c>
      <c r="K29" s="9" t="str">
        <f t="shared" si="2"/>
        <v/>
      </c>
      <c r="P29" s="15" t="str">
        <f t="shared" si="4"/>
        <v/>
      </c>
    </row>
    <row r="30" spans="1:21" x14ac:dyDescent="0.3">
      <c r="F30" s="8" t="str">
        <f t="shared" si="0"/>
        <v/>
      </c>
      <c r="K30" s="9" t="str">
        <f t="shared" si="2"/>
        <v/>
      </c>
      <c r="P30" s="15" t="str">
        <f t="shared" si="4"/>
        <v/>
      </c>
    </row>
    <row r="31" spans="1:21" x14ac:dyDescent="0.3">
      <c r="F31" s="8" t="str">
        <f t="shared" si="0"/>
        <v/>
      </c>
      <c r="K31" s="9" t="str">
        <f t="shared" si="2"/>
        <v/>
      </c>
      <c r="P31" s="15" t="str">
        <f t="shared" si="4"/>
        <v/>
      </c>
    </row>
    <row r="32" spans="1:21" x14ac:dyDescent="0.3">
      <c r="F32" s="8" t="str">
        <f t="shared" si="0"/>
        <v/>
      </c>
      <c r="K32" s="9" t="str">
        <f t="shared" si="2"/>
        <v/>
      </c>
      <c r="P32" s="15" t="str">
        <f t="shared" si="4"/>
        <v/>
      </c>
    </row>
    <row r="33" spans="6:16" x14ac:dyDescent="0.3">
      <c r="F33" s="8" t="str">
        <f t="shared" si="0"/>
        <v/>
      </c>
      <c r="K33" s="9" t="str">
        <f t="shared" si="2"/>
        <v/>
      </c>
      <c r="P33" s="15" t="str">
        <f t="shared" si="4"/>
        <v/>
      </c>
    </row>
    <row r="34" spans="6:16" x14ac:dyDescent="0.3">
      <c r="F34" s="8" t="str">
        <f t="shared" si="0"/>
        <v/>
      </c>
      <c r="K34" s="9" t="str">
        <f t="shared" si="2"/>
        <v/>
      </c>
      <c r="P34" s="15" t="str">
        <f t="shared" si="4"/>
        <v/>
      </c>
    </row>
    <row r="35" spans="6:16" x14ac:dyDescent="0.3">
      <c r="F35" s="8" t="str">
        <f t="shared" ref="F35:F66" si="10">IF(ISNUMBER(A35),A35,"")</f>
        <v/>
      </c>
      <c r="K35" s="9" t="str">
        <f t="shared" ref="K35:K66" si="11">IF(ISNUMBER(F35),F35,"")</f>
        <v/>
      </c>
      <c r="P35" s="15" t="str">
        <f t="shared" ref="P35:P66" si="12">IF(ISNUMBER(K35),K35,"")</f>
        <v/>
      </c>
    </row>
    <row r="36" spans="6:16" x14ac:dyDescent="0.3">
      <c r="F36" s="8" t="str">
        <f t="shared" si="10"/>
        <v/>
      </c>
      <c r="K36" s="9" t="str">
        <f t="shared" si="11"/>
        <v/>
      </c>
      <c r="P36" s="15" t="str">
        <f t="shared" si="12"/>
        <v/>
      </c>
    </row>
    <row r="37" spans="6:16" x14ac:dyDescent="0.3">
      <c r="F37" s="8" t="str">
        <f t="shared" si="10"/>
        <v/>
      </c>
      <c r="K37" s="9" t="str">
        <f t="shared" si="11"/>
        <v/>
      </c>
      <c r="P37" s="15" t="str">
        <f t="shared" si="12"/>
        <v/>
      </c>
    </row>
    <row r="38" spans="6:16" x14ac:dyDescent="0.3">
      <c r="F38" s="8" t="str">
        <f t="shared" si="10"/>
        <v/>
      </c>
      <c r="K38" s="9" t="str">
        <f t="shared" si="11"/>
        <v/>
      </c>
      <c r="P38" s="15" t="str">
        <f t="shared" si="12"/>
        <v/>
      </c>
    </row>
    <row r="39" spans="6:16" x14ac:dyDescent="0.3">
      <c r="F39" s="8" t="str">
        <f t="shared" si="10"/>
        <v/>
      </c>
      <c r="K39" s="9" t="str">
        <f t="shared" si="11"/>
        <v/>
      </c>
      <c r="P39" s="15" t="str">
        <f t="shared" si="12"/>
        <v/>
      </c>
    </row>
    <row r="40" spans="6:16" x14ac:dyDescent="0.3">
      <c r="F40" s="8" t="str">
        <f t="shared" si="10"/>
        <v/>
      </c>
      <c r="K40" s="9" t="str">
        <f t="shared" si="11"/>
        <v/>
      </c>
      <c r="P40" s="15" t="str">
        <f t="shared" si="12"/>
        <v/>
      </c>
    </row>
    <row r="41" spans="6:16" x14ac:dyDescent="0.3">
      <c r="F41" s="8" t="str">
        <f t="shared" si="10"/>
        <v/>
      </c>
      <c r="K41" s="9" t="str">
        <f t="shared" si="11"/>
        <v/>
      </c>
      <c r="P41" s="15" t="str">
        <f t="shared" si="12"/>
        <v/>
      </c>
    </row>
    <row r="42" spans="6:16" x14ac:dyDescent="0.3">
      <c r="F42" s="8" t="str">
        <f t="shared" si="10"/>
        <v/>
      </c>
      <c r="K42" s="9" t="str">
        <f t="shared" si="11"/>
        <v/>
      </c>
      <c r="P42" s="15" t="str">
        <f t="shared" si="12"/>
        <v/>
      </c>
    </row>
    <row r="43" spans="6:16" x14ac:dyDescent="0.3">
      <c r="F43" s="8" t="str">
        <f t="shared" si="10"/>
        <v/>
      </c>
      <c r="K43" s="9" t="str">
        <f t="shared" si="11"/>
        <v/>
      </c>
      <c r="P43" s="15" t="str">
        <f t="shared" si="12"/>
        <v/>
      </c>
    </row>
    <row r="44" spans="6:16" x14ac:dyDescent="0.3">
      <c r="F44" s="8" t="str">
        <f t="shared" si="10"/>
        <v/>
      </c>
      <c r="K44" s="9" t="str">
        <f t="shared" si="11"/>
        <v/>
      </c>
      <c r="P44" s="15" t="str">
        <f t="shared" si="12"/>
        <v/>
      </c>
    </row>
    <row r="45" spans="6:16" x14ac:dyDescent="0.3">
      <c r="F45" s="8" t="str">
        <f t="shared" si="10"/>
        <v/>
      </c>
      <c r="K45" s="9" t="str">
        <f t="shared" si="11"/>
        <v/>
      </c>
      <c r="P45" s="15" t="str">
        <f t="shared" si="12"/>
        <v/>
      </c>
    </row>
    <row r="46" spans="6:16" x14ac:dyDescent="0.3">
      <c r="F46" s="8" t="str">
        <f t="shared" si="10"/>
        <v/>
      </c>
      <c r="K46" s="9" t="str">
        <f t="shared" si="11"/>
        <v/>
      </c>
      <c r="P46" s="15" t="str">
        <f t="shared" si="12"/>
        <v/>
      </c>
    </row>
    <row r="47" spans="6:16" x14ac:dyDescent="0.3">
      <c r="F47" s="8" t="str">
        <f t="shared" si="10"/>
        <v/>
      </c>
      <c r="K47" s="9" t="str">
        <f t="shared" si="11"/>
        <v/>
      </c>
      <c r="P47" s="15" t="str">
        <f t="shared" si="12"/>
        <v/>
      </c>
    </row>
    <row r="48" spans="6:16" x14ac:dyDescent="0.3">
      <c r="F48" s="8" t="str">
        <f t="shared" si="10"/>
        <v/>
      </c>
      <c r="K48" s="9" t="str">
        <f t="shared" si="11"/>
        <v/>
      </c>
      <c r="P48" s="15" t="str">
        <f t="shared" si="12"/>
        <v/>
      </c>
    </row>
    <row r="49" spans="6:16" x14ac:dyDescent="0.3">
      <c r="F49" s="8" t="str">
        <f t="shared" si="10"/>
        <v/>
      </c>
      <c r="K49" s="9" t="str">
        <f t="shared" si="11"/>
        <v/>
      </c>
      <c r="P49" s="15" t="str">
        <f t="shared" si="12"/>
        <v/>
      </c>
    </row>
    <row r="50" spans="6:16" x14ac:dyDescent="0.3">
      <c r="F50" s="8" t="str">
        <f t="shared" si="10"/>
        <v/>
      </c>
      <c r="K50" s="9" t="str">
        <f t="shared" si="11"/>
        <v/>
      </c>
      <c r="P50" s="15" t="str">
        <f t="shared" si="12"/>
        <v/>
      </c>
    </row>
    <row r="51" spans="6:16" x14ac:dyDescent="0.3">
      <c r="F51" s="8" t="str">
        <f t="shared" si="10"/>
        <v/>
      </c>
      <c r="K51" s="9" t="str">
        <f t="shared" si="11"/>
        <v/>
      </c>
      <c r="P51" s="15" t="str">
        <f t="shared" si="12"/>
        <v/>
      </c>
    </row>
    <row r="52" spans="6:16" x14ac:dyDescent="0.3">
      <c r="F52" s="8" t="str">
        <f t="shared" si="10"/>
        <v/>
      </c>
      <c r="K52" s="9" t="str">
        <f t="shared" si="11"/>
        <v/>
      </c>
      <c r="P52" s="15" t="str">
        <f t="shared" si="12"/>
        <v/>
      </c>
    </row>
    <row r="53" spans="6:16" x14ac:dyDescent="0.3">
      <c r="F53" s="8" t="str">
        <f t="shared" si="10"/>
        <v/>
      </c>
      <c r="K53" s="9" t="str">
        <f t="shared" si="11"/>
        <v/>
      </c>
      <c r="P53" s="15" t="str">
        <f t="shared" si="12"/>
        <v/>
      </c>
    </row>
    <row r="54" spans="6:16" x14ac:dyDescent="0.3">
      <c r="F54" s="8" t="str">
        <f t="shared" si="10"/>
        <v/>
      </c>
      <c r="K54" s="9" t="str">
        <f t="shared" si="11"/>
        <v/>
      </c>
      <c r="P54" s="15" t="str">
        <f t="shared" si="12"/>
        <v/>
      </c>
    </row>
    <row r="55" spans="6:16" x14ac:dyDescent="0.3">
      <c r="F55" s="8" t="str">
        <f t="shared" si="10"/>
        <v/>
      </c>
      <c r="K55" s="9" t="str">
        <f t="shared" si="11"/>
        <v/>
      </c>
      <c r="P55" s="15" t="str">
        <f t="shared" si="12"/>
        <v/>
      </c>
    </row>
    <row r="56" spans="6:16" x14ac:dyDescent="0.3">
      <c r="F56" s="8" t="str">
        <f t="shared" si="10"/>
        <v/>
      </c>
      <c r="K56" s="9" t="str">
        <f t="shared" si="11"/>
        <v/>
      </c>
      <c r="P56" s="15" t="str">
        <f t="shared" si="12"/>
        <v/>
      </c>
    </row>
    <row r="57" spans="6:16" x14ac:dyDescent="0.3">
      <c r="F57" s="8" t="str">
        <f t="shared" si="10"/>
        <v/>
      </c>
      <c r="K57" s="9" t="str">
        <f t="shared" si="11"/>
        <v/>
      </c>
      <c r="P57" s="15" t="str">
        <f t="shared" si="12"/>
        <v/>
      </c>
    </row>
    <row r="58" spans="6:16" x14ac:dyDescent="0.3">
      <c r="F58" s="8" t="str">
        <f t="shared" si="10"/>
        <v/>
      </c>
      <c r="K58" s="9" t="str">
        <f t="shared" si="11"/>
        <v/>
      </c>
      <c r="P58" s="15" t="str">
        <f t="shared" si="12"/>
        <v/>
      </c>
    </row>
    <row r="59" spans="6:16" x14ac:dyDescent="0.3">
      <c r="F59" s="8" t="str">
        <f t="shared" si="10"/>
        <v/>
      </c>
      <c r="K59" s="9" t="str">
        <f t="shared" si="11"/>
        <v/>
      </c>
      <c r="P59" s="15" t="str">
        <f t="shared" si="12"/>
        <v/>
      </c>
    </row>
    <row r="60" spans="6:16" x14ac:dyDescent="0.3">
      <c r="F60" s="8" t="str">
        <f t="shared" si="10"/>
        <v/>
      </c>
      <c r="K60" s="9" t="str">
        <f t="shared" si="11"/>
        <v/>
      </c>
      <c r="P60" s="15" t="str">
        <f t="shared" si="12"/>
        <v/>
      </c>
    </row>
    <row r="61" spans="6:16" x14ac:dyDescent="0.3">
      <c r="F61" s="8" t="str">
        <f t="shared" si="10"/>
        <v/>
      </c>
      <c r="K61" s="9" t="str">
        <f t="shared" si="11"/>
        <v/>
      </c>
      <c r="P61" s="15" t="str">
        <f t="shared" si="12"/>
        <v/>
      </c>
    </row>
    <row r="62" spans="6:16" x14ac:dyDescent="0.3">
      <c r="F62" s="8" t="str">
        <f t="shared" si="10"/>
        <v/>
      </c>
      <c r="K62" s="9" t="str">
        <f t="shared" si="11"/>
        <v/>
      </c>
      <c r="P62" s="15" t="str">
        <f t="shared" si="12"/>
        <v/>
      </c>
    </row>
    <row r="63" spans="6:16" x14ac:dyDescent="0.3">
      <c r="F63" s="8" t="str">
        <f t="shared" si="10"/>
        <v/>
      </c>
      <c r="K63" s="9" t="str">
        <f t="shared" si="11"/>
        <v/>
      </c>
      <c r="P63" s="15" t="str">
        <f t="shared" si="12"/>
        <v/>
      </c>
    </row>
    <row r="64" spans="6:16" x14ac:dyDescent="0.3">
      <c r="F64" s="8" t="str">
        <f t="shared" si="10"/>
        <v/>
      </c>
      <c r="K64" s="9" t="str">
        <f t="shared" si="11"/>
        <v/>
      </c>
      <c r="P64" s="15" t="str">
        <f t="shared" si="12"/>
        <v/>
      </c>
    </row>
    <row r="65" spans="6:16" x14ac:dyDescent="0.3">
      <c r="F65" s="8" t="str">
        <f t="shared" si="10"/>
        <v/>
      </c>
      <c r="K65" s="9" t="str">
        <f t="shared" si="11"/>
        <v/>
      </c>
      <c r="P65" s="15" t="str">
        <f t="shared" si="12"/>
        <v/>
      </c>
    </row>
    <row r="66" spans="6:16" x14ac:dyDescent="0.3">
      <c r="F66" s="8" t="str">
        <f t="shared" si="10"/>
        <v/>
      </c>
      <c r="K66" s="9" t="str">
        <f t="shared" si="11"/>
        <v/>
      </c>
      <c r="P66" s="15" t="str">
        <f t="shared" si="12"/>
        <v/>
      </c>
    </row>
    <row r="67" spans="6:16" x14ac:dyDescent="0.3">
      <c r="F67" s="8" t="str">
        <f t="shared" ref="F67:F83" si="13">IF(ISNUMBER(A67),A67,"")</f>
        <v/>
      </c>
      <c r="K67" s="9" t="str">
        <f t="shared" ref="K67:K74" si="14">IF(ISNUMBER(F67),F67,"")</f>
        <v/>
      </c>
      <c r="P67" s="15" t="str">
        <f t="shared" ref="P67:P72" si="15">IF(ISNUMBER(K67),K67,"")</f>
        <v/>
      </c>
    </row>
    <row r="68" spans="6:16" x14ac:dyDescent="0.3">
      <c r="F68" s="8" t="str">
        <f t="shared" si="13"/>
        <v/>
      </c>
      <c r="K68" s="9" t="str">
        <f t="shared" si="14"/>
        <v/>
      </c>
      <c r="P68" s="15" t="str">
        <f t="shared" si="15"/>
        <v/>
      </c>
    </row>
    <row r="69" spans="6:16" x14ac:dyDescent="0.3">
      <c r="F69" s="8" t="str">
        <f t="shared" si="13"/>
        <v/>
      </c>
      <c r="K69" s="9" t="str">
        <f t="shared" si="14"/>
        <v/>
      </c>
      <c r="P69" s="15" t="str">
        <f t="shared" si="15"/>
        <v/>
      </c>
    </row>
    <row r="70" spans="6:16" x14ac:dyDescent="0.3">
      <c r="F70" s="8" t="str">
        <f t="shared" si="13"/>
        <v/>
      </c>
      <c r="K70" s="9" t="str">
        <f t="shared" si="14"/>
        <v/>
      </c>
      <c r="P70" s="15" t="str">
        <f t="shared" si="15"/>
        <v/>
      </c>
    </row>
    <row r="71" spans="6:16" x14ac:dyDescent="0.3">
      <c r="F71" s="8" t="str">
        <f t="shared" si="13"/>
        <v/>
      </c>
      <c r="K71" s="9" t="str">
        <f t="shared" si="14"/>
        <v/>
      </c>
      <c r="P71" s="15" t="str">
        <f t="shared" si="15"/>
        <v/>
      </c>
    </row>
    <row r="72" spans="6:16" x14ac:dyDescent="0.3">
      <c r="F72" s="8" t="str">
        <f t="shared" si="13"/>
        <v/>
      </c>
      <c r="K72" s="9" t="str">
        <f t="shared" si="14"/>
        <v/>
      </c>
      <c r="P72" s="15" t="str">
        <f t="shared" si="15"/>
        <v/>
      </c>
    </row>
    <row r="73" spans="6:16" x14ac:dyDescent="0.3">
      <c r="F73" s="8" t="str">
        <f t="shared" si="13"/>
        <v/>
      </c>
      <c r="K73" s="9" t="str">
        <f t="shared" si="14"/>
        <v/>
      </c>
      <c r="P73" s="15" t="str">
        <f t="shared" ref="P73:P83" si="16">IF(ISNUMBER(K73),K73,"")</f>
        <v/>
      </c>
    </row>
    <row r="74" spans="6:16" x14ac:dyDescent="0.3">
      <c r="F74" s="8" t="str">
        <f t="shared" si="13"/>
        <v/>
      </c>
      <c r="K74" s="9" t="str">
        <f t="shared" si="14"/>
        <v/>
      </c>
      <c r="P74" s="15" t="str">
        <f t="shared" si="16"/>
        <v/>
      </c>
    </row>
    <row r="75" spans="6:16" x14ac:dyDescent="0.3">
      <c r="F75" s="8" t="str">
        <f t="shared" si="13"/>
        <v/>
      </c>
      <c r="K75" s="9" t="str">
        <f t="shared" ref="K75:K83" si="17">IF(ISNUMBER(F75),F75,"")</f>
        <v/>
      </c>
      <c r="P75" s="15" t="str">
        <f t="shared" si="16"/>
        <v/>
      </c>
    </row>
    <row r="76" spans="6:16" x14ac:dyDescent="0.3">
      <c r="F76" s="8" t="str">
        <f t="shared" si="13"/>
        <v/>
      </c>
      <c r="K76" s="9" t="str">
        <f t="shared" si="17"/>
        <v/>
      </c>
      <c r="P76" s="15" t="str">
        <f t="shared" si="16"/>
        <v/>
      </c>
    </row>
    <row r="77" spans="6:16" x14ac:dyDescent="0.3">
      <c r="F77" s="8" t="str">
        <f t="shared" si="13"/>
        <v/>
      </c>
      <c r="K77" s="9" t="str">
        <f t="shared" si="17"/>
        <v/>
      </c>
      <c r="P77" s="15" t="str">
        <f t="shared" si="16"/>
        <v/>
      </c>
    </row>
    <row r="78" spans="6:16" x14ac:dyDescent="0.3">
      <c r="F78" s="8" t="str">
        <f t="shared" si="13"/>
        <v/>
      </c>
      <c r="K78" s="9" t="str">
        <f t="shared" si="17"/>
        <v/>
      </c>
      <c r="P78" s="15" t="str">
        <f t="shared" si="16"/>
        <v/>
      </c>
    </row>
    <row r="79" spans="6:16" x14ac:dyDescent="0.3">
      <c r="F79" s="8" t="str">
        <f t="shared" si="13"/>
        <v/>
      </c>
      <c r="K79" s="9" t="str">
        <f t="shared" si="17"/>
        <v/>
      </c>
      <c r="P79" s="15" t="str">
        <f t="shared" si="16"/>
        <v/>
      </c>
    </row>
    <row r="80" spans="6:16" x14ac:dyDescent="0.3">
      <c r="F80" s="8" t="str">
        <f t="shared" si="13"/>
        <v/>
      </c>
      <c r="K80" s="9" t="str">
        <f t="shared" si="17"/>
        <v/>
      </c>
      <c r="P80" s="15" t="str">
        <f t="shared" si="16"/>
        <v/>
      </c>
    </row>
    <row r="81" spans="6:16" x14ac:dyDescent="0.3">
      <c r="F81" s="8" t="str">
        <f t="shared" si="13"/>
        <v/>
      </c>
      <c r="K81" s="9" t="str">
        <f t="shared" si="17"/>
        <v/>
      </c>
      <c r="P81" s="15" t="str">
        <f t="shared" si="16"/>
        <v/>
      </c>
    </row>
    <row r="82" spans="6:16" x14ac:dyDescent="0.3">
      <c r="F82" s="8" t="str">
        <f t="shared" si="13"/>
        <v/>
      </c>
      <c r="K82" s="9" t="str">
        <f t="shared" si="17"/>
        <v/>
      </c>
      <c r="P82" s="15" t="str">
        <f t="shared" si="16"/>
        <v/>
      </c>
    </row>
    <row r="83" spans="6:16" x14ac:dyDescent="0.3">
      <c r="F83" s="8" t="str">
        <f t="shared" si="13"/>
        <v/>
      </c>
      <c r="K83" s="9" t="str">
        <f t="shared" si="17"/>
        <v/>
      </c>
      <c r="P83" s="15" t="str">
        <f t="shared" si="16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workbookViewId="0">
      <selection activeCell="D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9.17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  <col min="17" max="17" width="10.54296875" bestFit="1" customWidth="1"/>
  </cols>
  <sheetData>
    <row r="1" spans="1:15" x14ac:dyDescent="0.3">
      <c r="A1" s="1" t="s">
        <v>3</v>
      </c>
      <c r="F1" s="3" t="s">
        <v>4</v>
      </c>
      <c r="K1" s="5" t="s">
        <v>5</v>
      </c>
    </row>
    <row r="2" spans="1:15" s="80" customFormat="1" ht="34.5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5" x14ac:dyDescent="0.3">
      <c r="A3" s="7">
        <v>21895</v>
      </c>
      <c r="B3" s="10">
        <v>117</v>
      </c>
      <c r="C3" s="2">
        <v>185.8</v>
      </c>
      <c r="D3" s="2">
        <v>274.2</v>
      </c>
      <c r="E3" s="16">
        <f t="shared" ref="E3:E10" si="0">D3+C3</f>
        <v>460</v>
      </c>
      <c r="F3" s="8">
        <f t="shared" ref="F3:F34" si="1">IF(ISNUMBER(A3),A3,"")</f>
        <v>21895</v>
      </c>
      <c r="G3" s="11">
        <v>119</v>
      </c>
      <c r="H3" s="4">
        <v>178</v>
      </c>
      <c r="I3" s="4">
        <f>132.94+67.15</f>
        <v>200.09</v>
      </c>
      <c r="J3" s="17">
        <f>I3+H3</f>
        <v>378.09000000000003</v>
      </c>
      <c r="K3" s="9">
        <f t="shared" ref="K3:K34" si="2">IF(ISNUMBER(F3),F3,"")</f>
        <v>21895</v>
      </c>
      <c r="L3" s="12">
        <v>122</v>
      </c>
      <c r="M3" s="6">
        <v>271</v>
      </c>
      <c r="N3" s="6">
        <v>128.4</v>
      </c>
      <c r="O3" s="18">
        <f t="shared" ref="O3:O12" si="3">N3+M3</f>
        <v>399.4</v>
      </c>
    </row>
    <row r="4" spans="1:15" x14ac:dyDescent="0.3">
      <c r="A4" s="7">
        <v>22210</v>
      </c>
      <c r="B4" s="10">
        <v>117</v>
      </c>
      <c r="C4" s="2">
        <v>145</v>
      </c>
      <c r="D4" s="2">
        <v>274.2</v>
      </c>
      <c r="E4" s="16">
        <f t="shared" si="0"/>
        <v>419.2</v>
      </c>
      <c r="F4" s="8">
        <f t="shared" si="1"/>
        <v>22210</v>
      </c>
      <c r="G4" s="11">
        <v>120</v>
      </c>
      <c r="H4" s="4">
        <v>191</v>
      </c>
      <c r="I4" s="4">
        <f>72.94+60</f>
        <v>132.94</v>
      </c>
      <c r="J4" s="17">
        <f>I4+H4</f>
        <v>323.94</v>
      </c>
      <c r="K4" s="9">
        <f t="shared" si="2"/>
        <v>22210</v>
      </c>
      <c r="L4" s="12">
        <v>122</v>
      </c>
      <c r="M4" s="6">
        <v>208</v>
      </c>
      <c r="N4" s="6">
        <v>128.4</v>
      </c>
      <c r="O4" s="18">
        <f t="shared" si="3"/>
        <v>336.4</v>
      </c>
    </row>
    <row r="5" spans="1:15" x14ac:dyDescent="0.3">
      <c r="A5" s="7">
        <v>23949</v>
      </c>
      <c r="B5" s="10">
        <v>117</v>
      </c>
      <c r="C5" s="2">
        <v>109.9</v>
      </c>
      <c r="D5" s="2">
        <v>274.2</v>
      </c>
      <c r="E5" s="16">
        <f t="shared" si="0"/>
        <v>384.1</v>
      </c>
      <c r="F5" s="8">
        <f t="shared" si="1"/>
        <v>23949</v>
      </c>
      <c r="G5" s="11">
        <v>120</v>
      </c>
      <c r="H5" s="4">
        <v>145.1</v>
      </c>
      <c r="I5" s="4">
        <f>72.94+60</f>
        <v>132.94</v>
      </c>
      <c r="J5" s="17">
        <f>I5+H5</f>
        <v>278.03999999999996</v>
      </c>
      <c r="K5" s="9">
        <f t="shared" si="2"/>
        <v>23949</v>
      </c>
      <c r="L5" s="12">
        <v>122</v>
      </c>
      <c r="M5" s="6">
        <v>159</v>
      </c>
      <c r="N5" s="6">
        <v>128.4</v>
      </c>
      <c r="O5" s="18">
        <f t="shared" si="3"/>
        <v>287.39999999999998</v>
      </c>
    </row>
    <row r="6" spans="1:15" x14ac:dyDescent="0.3">
      <c r="A6" s="7">
        <v>25769</v>
      </c>
      <c r="B6" s="10">
        <v>117</v>
      </c>
      <c r="C6" s="2">
        <v>82</v>
      </c>
      <c r="D6" s="2">
        <v>274.2</v>
      </c>
      <c r="E6" s="16">
        <f t="shared" si="0"/>
        <v>356.2</v>
      </c>
      <c r="F6" s="8">
        <f t="shared" si="1"/>
        <v>25769</v>
      </c>
      <c r="J6" s="17"/>
      <c r="K6" s="9">
        <f t="shared" si="2"/>
        <v>25769</v>
      </c>
      <c r="L6" s="12">
        <v>122</v>
      </c>
      <c r="M6" s="6">
        <v>130</v>
      </c>
      <c r="N6" s="6">
        <v>128.4</v>
      </c>
      <c r="O6" s="18">
        <f t="shared" si="3"/>
        <v>258.39999999999998</v>
      </c>
    </row>
    <row r="7" spans="1:15" x14ac:dyDescent="0.3">
      <c r="A7" s="7">
        <v>27228</v>
      </c>
      <c r="B7" s="10">
        <v>117</v>
      </c>
      <c r="C7" s="2">
        <v>60.9</v>
      </c>
      <c r="D7" s="2">
        <v>274.2</v>
      </c>
      <c r="E7" s="16">
        <f t="shared" si="0"/>
        <v>335.09999999999997</v>
      </c>
      <c r="F7" s="8">
        <f t="shared" si="1"/>
        <v>27228</v>
      </c>
      <c r="G7" s="11">
        <v>119</v>
      </c>
      <c r="H7" s="4">
        <v>62.85</v>
      </c>
      <c r="I7" s="4">
        <f>132.94+67.15</f>
        <v>200.09</v>
      </c>
      <c r="J7" s="17">
        <f>I7+H7</f>
        <v>262.94</v>
      </c>
      <c r="K7" s="9">
        <f t="shared" si="2"/>
        <v>27228</v>
      </c>
      <c r="L7" s="12">
        <v>122</v>
      </c>
      <c r="M7" s="6">
        <v>102</v>
      </c>
      <c r="N7" s="6">
        <v>128.4</v>
      </c>
      <c r="O7" s="18">
        <f t="shared" si="3"/>
        <v>230.4</v>
      </c>
    </row>
    <row r="8" spans="1:15" x14ac:dyDescent="0.3">
      <c r="A8" s="7">
        <v>29528</v>
      </c>
      <c r="B8" s="10">
        <v>117</v>
      </c>
      <c r="C8" s="2">
        <v>34.1</v>
      </c>
      <c r="D8" s="2">
        <v>274.2</v>
      </c>
      <c r="E8" s="16">
        <f t="shared" si="0"/>
        <v>308.3</v>
      </c>
      <c r="F8" s="8">
        <f t="shared" si="1"/>
        <v>29528</v>
      </c>
      <c r="G8" s="11">
        <v>119</v>
      </c>
      <c r="H8" s="4">
        <v>36.24</v>
      </c>
      <c r="I8" s="4">
        <f>132.94+67.15</f>
        <v>200.09</v>
      </c>
      <c r="J8" s="17">
        <f>I8+H8</f>
        <v>236.33</v>
      </c>
      <c r="K8" s="9">
        <f t="shared" si="2"/>
        <v>29528</v>
      </c>
      <c r="L8" s="12">
        <v>122</v>
      </c>
      <c r="M8" s="6">
        <v>73.599999999999994</v>
      </c>
      <c r="N8" s="6">
        <v>128.4</v>
      </c>
      <c r="O8" s="18">
        <f t="shared" si="3"/>
        <v>202</v>
      </c>
    </row>
    <row r="9" spans="1:15" x14ac:dyDescent="0.3">
      <c r="A9" s="7">
        <v>31716</v>
      </c>
      <c r="B9" s="10">
        <v>117</v>
      </c>
      <c r="C9" s="2">
        <v>5.5</v>
      </c>
      <c r="D9" s="2">
        <v>274.2</v>
      </c>
      <c r="E9" s="16">
        <f t="shared" si="0"/>
        <v>279.7</v>
      </c>
      <c r="F9" s="8">
        <f t="shared" si="1"/>
        <v>31716</v>
      </c>
      <c r="G9" s="11">
        <v>120</v>
      </c>
      <c r="H9" s="4">
        <v>74.95</v>
      </c>
      <c r="I9" s="4">
        <f>72.94+60</f>
        <v>132.94</v>
      </c>
      <c r="J9" s="17">
        <f>I9+H9</f>
        <v>207.89</v>
      </c>
      <c r="K9" s="9">
        <f t="shared" si="2"/>
        <v>31716</v>
      </c>
      <c r="L9" s="12">
        <v>122</v>
      </c>
      <c r="M9" s="6">
        <v>47.2</v>
      </c>
      <c r="N9" s="6">
        <v>128.4</v>
      </c>
      <c r="O9" s="18">
        <f t="shared" si="3"/>
        <v>175.60000000000002</v>
      </c>
    </row>
    <row r="10" spans="1:15" x14ac:dyDescent="0.3">
      <c r="A10" s="7">
        <v>33528</v>
      </c>
      <c r="B10" s="10" t="s">
        <v>6</v>
      </c>
      <c r="C10" s="2">
        <v>82.7</v>
      </c>
      <c r="D10" s="2">
        <v>166.24</v>
      </c>
      <c r="E10" s="16">
        <f t="shared" si="0"/>
        <v>248.94</v>
      </c>
      <c r="F10" s="8">
        <f t="shared" si="1"/>
        <v>33528</v>
      </c>
      <c r="G10" s="11">
        <v>120</v>
      </c>
      <c r="H10" s="4">
        <v>47.2</v>
      </c>
      <c r="I10" s="4">
        <f>72.94+60</f>
        <v>132.94</v>
      </c>
      <c r="J10" s="17">
        <f>I10+H10</f>
        <v>180.14</v>
      </c>
      <c r="K10" s="9">
        <f t="shared" si="2"/>
        <v>33528</v>
      </c>
      <c r="L10" s="12">
        <v>122</v>
      </c>
      <c r="M10" s="6">
        <v>23.16</v>
      </c>
      <c r="N10" s="6">
        <v>128.4</v>
      </c>
      <c r="O10" s="18">
        <f t="shared" si="3"/>
        <v>151.56</v>
      </c>
    </row>
    <row r="11" spans="1:15" x14ac:dyDescent="0.3">
      <c r="A11" s="7">
        <v>34895</v>
      </c>
      <c r="E11" s="16"/>
      <c r="F11" s="8">
        <f t="shared" si="1"/>
        <v>34895</v>
      </c>
      <c r="G11" s="11">
        <v>120</v>
      </c>
      <c r="H11" s="4">
        <v>28.68</v>
      </c>
      <c r="I11" s="4">
        <f>72.94+60</f>
        <v>132.94</v>
      </c>
      <c r="J11" s="17">
        <f>I11+H11</f>
        <v>161.62</v>
      </c>
      <c r="K11" s="9">
        <f t="shared" si="2"/>
        <v>34895</v>
      </c>
      <c r="L11" s="12">
        <v>122</v>
      </c>
      <c r="M11" s="6">
        <v>4.24</v>
      </c>
      <c r="N11" s="6">
        <v>128.4</v>
      </c>
      <c r="O11" s="18">
        <f t="shared" si="3"/>
        <v>132.64000000000001</v>
      </c>
    </row>
    <row r="12" spans="1:15" x14ac:dyDescent="0.3">
      <c r="A12" s="7">
        <v>36404</v>
      </c>
      <c r="B12" s="10" t="s">
        <v>6</v>
      </c>
      <c r="C12" s="2">
        <v>39.71</v>
      </c>
      <c r="D12" s="2">
        <v>166.24</v>
      </c>
      <c r="E12" s="16">
        <f>D12+C12</f>
        <v>205.95000000000002</v>
      </c>
      <c r="F12" s="8">
        <f t="shared" si="1"/>
        <v>36404</v>
      </c>
      <c r="J12" s="17"/>
      <c r="K12" s="9">
        <f t="shared" si="2"/>
        <v>36404</v>
      </c>
      <c r="L12" s="12" t="s">
        <v>9</v>
      </c>
      <c r="M12" s="6">
        <v>114.23</v>
      </c>
      <c r="N12" s="6">
        <v>0</v>
      </c>
      <c r="O12" s="18">
        <f t="shared" si="3"/>
        <v>114.23</v>
      </c>
    </row>
    <row r="13" spans="1:15" x14ac:dyDescent="0.3">
      <c r="A13" s="7">
        <v>37817</v>
      </c>
      <c r="E13" s="16"/>
      <c r="F13" s="8">
        <f t="shared" si="1"/>
        <v>37817</v>
      </c>
      <c r="G13" s="11" t="s">
        <v>8</v>
      </c>
      <c r="H13" s="4">
        <v>68.709999999999994</v>
      </c>
      <c r="I13" s="4">
        <v>72.94</v>
      </c>
      <c r="J13" s="17">
        <f t="shared" ref="J13:J23" si="4">I13+H13</f>
        <v>141.64999999999998</v>
      </c>
      <c r="K13" s="9">
        <f t="shared" si="2"/>
        <v>37817</v>
      </c>
      <c r="O13" s="18"/>
    </row>
    <row r="14" spans="1:15" x14ac:dyDescent="0.3">
      <c r="A14" s="7">
        <v>38986</v>
      </c>
      <c r="B14" s="10" t="s">
        <v>6</v>
      </c>
      <c r="C14" s="2">
        <v>7.32</v>
      </c>
      <c r="D14" s="2">
        <v>166.24</v>
      </c>
      <c r="E14" s="16">
        <f>D14+C14</f>
        <v>173.56</v>
      </c>
      <c r="F14" s="8">
        <f t="shared" si="1"/>
        <v>38986</v>
      </c>
      <c r="G14" s="11" t="s">
        <v>8</v>
      </c>
      <c r="H14" s="4">
        <v>54.78</v>
      </c>
      <c r="I14" s="4">
        <v>72.94</v>
      </c>
      <c r="J14" s="17">
        <f t="shared" si="4"/>
        <v>127.72</v>
      </c>
      <c r="K14" s="9">
        <f t="shared" si="2"/>
        <v>38986</v>
      </c>
      <c r="L14" s="12" t="s">
        <v>9</v>
      </c>
      <c r="M14" s="6">
        <v>82.2</v>
      </c>
      <c r="N14" s="6">
        <v>0</v>
      </c>
      <c r="O14" s="18">
        <f t="shared" ref="O14:O23" si="5">N14+M14</f>
        <v>82.2</v>
      </c>
    </row>
    <row r="15" spans="1:15" x14ac:dyDescent="0.3">
      <c r="A15" s="7">
        <v>40009</v>
      </c>
      <c r="B15" s="10">
        <v>119</v>
      </c>
      <c r="C15" s="2">
        <v>83.71</v>
      </c>
      <c r="D15" s="20">
        <v>75</v>
      </c>
      <c r="E15" s="1">
        <f>D15+C15</f>
        <v>158.70999999999998</v>
      </c>
      <c r="F15" s="8">
        <f t="shared" si="1"/>
        <v>40009</v>
      </c>
      <c r="G15" s="11" t="s">
        <v>8</v>
      </c>
      <c r="H15" s="4">
        <v>42.97</v>
      </c>
      <c r="I15" s="4">
        <v>72.94</v>
      </c>
      <c r="J15" s="17">
        <f t="shared" si="4"/>
        <v>115.91</v>
      </c>
      <c r="K15" s="9">
        <f t="shared" si="2"/>
        <v>40009</v>
      </c>
      <c r="L15" s="12" t="s">
        <v>9</v>
      </c>
      <c r="M15" s="6">
        <v>69.12</v>
      </c>
      <c r="N15" s="6">
        <v>0</v>
      </c>
      <c r="O15" s="18">
        <f t="shared" si="5"/>
        <v>69.12</v>
      </c>
    </row>
    <row r="16" spans="1:15" x14ac:dyDescent="0.3">
      <c r="A16" s="7">
        <v>40798</v>
      </c>
      <c r="B16" s="10">
        <v>119</v>
      </c>
      <c r="C16" s="20">
        <v>78</v>
      </c>
      <c r="D16" s="20">
        <v>75</v>
      </c>
      <c r="E16" s="16">
        <f>D16+C16</f>
        <v>153</v>
      </c>
      <c r="F16" s="8">
        <f t="shared" si="1"/>
        <v>40798</v>
      </c>
      <c r="G16" s="30" t="s">
        <v>8</v>
      </c>
      <c r="H16" s="22">
        <v>39.9</v>
      </c>
      <c r="I16" s="4">
        <v>72.94</v>
      </c>
      <c r="J16" s="17">
        <f t="shared" si="4"/>
        <v>112.84</v>
      </c>
      <c r="K16" s="9">
        <f t="shared" si="2"/>
        <v>40798</v>
      </c>
      <c r="L16" s="12" t="s">
        <v>9</v>
      </c>
      <c r="M16" s="23">
        <v>65.599999999999994</v>
      </c>
      <c r="N16" s="6">
        <v>0</v>
      </c>
      <c r="O16" s="18">
        <f t="shared" si="5"/>
        <v>65.599999999999994</v>
      </c>
    </row>
    <row r="17" spans="1:17" x14ac:dyDescent="0.3">
      <c r="A17" s="7">
        <v>41177</v>
      </c>
      <c r="F17" s="8">
        <f t="shared" si="1"/>
        <v>41177</v>
      </c>
      <c r="G17" s="30" t="s">
        <v>8</v>
      </c>
      <c r="H17" s="4">
        <v>36.32</v>
      </c>
      <c r="I17" s="4">
        <v>72.94</v>
      </c>
      <c r="J17" s="32">
        <f t="shared" si="4"/>
        <v>109.25999999999999</v>
      </c>
      <c r="K17" s="9">
        <f t="shared" si="2"/>
        <v>41177</v>
      </c>
      <c r="L17" s="31" t="s">
        <v>9</v>
      </c>
      <c r="M17" s="6">
        <v>62.92</v>
      </c>
      <c r="N17" s="6">
        <v>0</v>
      </c>
      <c r="O17" s="33">
        <f t="shared" si="5"/>
        <v>62.92</v>
      </c>
      <c r="P17" s="29" t="s">
        <v>118</v>
      </c>
    </row>
    <row r="18" spans="1:17" x14ac:dyDescent="0.3">
      <c r="A18" s="7">
        <v>41458</v>
      </c>
      <c r="B18" s="10">
        <v>118</v>
      </c>
      <c r="C18" s="2">
        <v>144.97999999999999</v>
      </c>
      <c r="D18" s="2">
        <v>0</v>
      </c>
      <c r="E18" s="16">
        <f>D18+C18</f>
        <v>144.97999999999999</v>
      </c>
      <c r="F18" s="8">
        <f t="shared" si="1"/>
        <v>41458</v>
      </c>
      <c r="G18" s="30" t="s">
        <v>8</v>
      </c>
      <c r="H18" s="4">
        <v>35.520000000000003</v>
      </c>
      <c r="I18" s="4">
        <v>72.94</v>
      </c>
      <c r="J18" s="32">
        <f t="shared" si="4"/>
        <v>108.46000000000001</v>
      </c>
      <c r="K18" s="9">
        <f t="shared" si="2"/>
        <v>41458</v>
      </c>
      <c r="L18" s="31" t="s">
        <v>9</v>
      </c>
      <c r="M18" s="6">
        <v>61.03</v>
      </c>
      <c r="N18" s="6">
        <v>0</v>
      </c>
      <c r="O18" s="33">
        <f t="shared" si="5"/>
        <v>61.03</v>
      </c>
    </row>
    <row r="19" spans="1:17" x14ac:dyDescent="0.3">
      <c r="A19" s="7">
        <v>42420</v>
      </c>
      <c r="B19" s="10">
        <v>118</v>
      </c>
      <c r="C19" s="2">
        <v>133.75</v>
      </c>
      <c r="D19" s="2">
        <v>0</v>
      </c>
      <c r="E19" s="1">
        <f>D19+C19</f>
        <v>133.75</v>
      </c>
      <c r="F19" s="8">
        <f t="shared" si="1"/>
        <v>42420</v>
      </c>
      <c r="G19" s="30" t="s">
        <v>8</v>
      </c>
      <c r="H19" s="4">
        <v>23.83</v>
      </c>
      <c r="I19" s="4">
        <v>72.94</v>
      </c>
      <c r="J19" s="32">
        <f t="shared" si="4"/>
        <v>96.77</v>
      </c>
      <c r="K19" s="9">
        <f t="shared" si="2"/>
        <v>42420</v>
      </c>
      <c r="L19" s="31" t="s">
        <v>9</v>
      </c>
      <c r="M19" s="6">
        <v>50.64</v>
      </c>
      <c r="N19" s="6">
        <v>0</v>
      </c>
      <c r="O19" s="33">
        <f t="shared" si="5"/>
        <v>50.64</v>
      </c>
      <c r="P19" s="29" t="s">
        <v>135</v>
      </c>
    </row>
    <row r="20" spans="1:17" x14ac:dyDescent="0.3">
      <c r="A20" s="7">
        <v>43718</v>
      </c>
      <c r="B20" s="28" t="s">
        <v>97</v>
      </c>
      <c r="F20" s="8">
        <f t="shared" si="1"/>
        <v>43718</v>
      </c>
      <c r="G20" s="30" t="s">
        <v>8</v>
      </c>
      <c r="H20" s="4">
        <v>9.14</v>
      </c>
      <c r="I20" s="4">
        <v>72.94</v>
      </c>
      <c r="J20" s="32">
        <f t="shared" si="4"/>
        <v>82.08</v>
      </c>
      <c r="K20" s="9">
        <f t="shared" si="2"/>
        <v>43718</v>
      </c>
      <c r="L20" s="31" t="s">
        <v>9</v>
      </c>
      <c r="M20" s="6">
        <v>38.32</v>
      </c>
      <c r="N20" s="6">
        <v>0</v>
      </c>
      <c r="O20" s="33">
        <f t="shared" si="5"/>
        <v>38.32</v>
      </c>
      <c r="P20" s="29" t="s">
        <v>160</v>
      </c>
    </row>
    <row r="21" spans="1:17" x14ac:dyDescent="0.3">
      <c r="A21" s="7">
        <v>44081</v>
      </c>
      <c r="B21" s="10">
        <v>118</v>
      </c>
      <c r="C21" s="2">
        <v>114.65</v>
      </c>
      <c r="D21" s="2">
        <v>0</v>
      </c>
      <c r="E21" s="1">
        <f>D21+C21</f>
        <v>114.65</v>
      </c>
      <c r="F21" s="8">
        <f t="shared" si="1"/>
        <v>44081</v>
      </c>
      <c r="G21" s="11" t="s">
        <v>8</v>
      </c>
      <c r="H21" s="4">
        <v>3.75</v>
      </c>
      <c r="I21" s="4">
        <v>72.94</v>
      </c>
      <c r="J21" s="32">
        <f t="shared" si="4"/>
        <v>76.69</v>
      </c>
      <c r="K21" s="9">
        <f t="shared" si="2"/>
        <v>44081</v>
      </c>
      <c r="L21" s="12" t="s">
        <v>9</v>
      </c>
      <c r="M21" s="6">
        <v>33.57</v>
      </c>
      <c r="N21" s="6">
        <v>0</v>
      </c>
      <c r="O21" s="33">
        <f t="shared" si="5"/>
        <v>33.57</v>
      </c>
    </row>
    <row r="22" spans="1:17" x14ac:dyDescent="0.3">
      <c r="A22" s="7">
        <v>45152</v>
      </c>
      <c r="B22" s="10">
        <v>118</v>
      </c>
      <c r="C22" s="20">
        <v>83.4</v>
      </c>
      <c r="D22" s="2">
        <v>0</v>
      </c>
      <c r="E22" s="16">
        <f>D22+C22</f>
        <v>83.4</v>
      </c>
      <c r="F22" s="8">
        <f t="shared" si="1"/>
        <v>45152</v>
      </c>
      <c r="G22" s="30" t="s">
        <v>7</v>
      </c>
      <c r="H22" s="4">
        <v>65.83</v>
      </c>
      <c r="I22" s="4">
        <v>0</v>
      </c>
      <c r="J22" s="32">
        <f t="shared" si="4"/>
        <v>65.83</v>
      </c>
      <c r="K22" s="9">
        <f t="shared" si="2"/>
        <v>45152</v>
      </c>
      <c r="L22" s="31" t="s">
        <v>9</v>
      </c>
      <c r="M22" s="6">
        <v>25.83</v>
      </c>
      <c r="N22" s="6">
        <v>0</v>
      </c>
      <c r="O22" s="33">
        <f t="shared" si="5"/>
        <v>25.83</v>
      </c>
    </row>
    <row r="23" spans="1:17" x14ac:dyDescent="0.3">
      <c r="A23" s="7">
        <v>45488</v>
      </c>
      <c r="B23" s="10">
        <v>118</v>
      </c>
      <c r="C23" s="2">
        <v>80.930000000000007</v>
      </c>
      <c r="D23" s="2">
        <v>0</v>
      </c>
      <c r="E23" s="1">
        <f>D23+C23</f>
        <v>80.930000000000007</v>
      </c>
      <c r="F23" s="8">
        <f t="shared" si="1"/>
        <v>45488</v>
      </c>
      <c r="G23" s="30" t="s">
        <v>7</v>
      </c>
      <c r="H23" s="4">
        <v>64.56</v>
      </c>
      <c r="I23" s="4">
        <v>0</v>
      </c>
      <c r="J23" s="32">
        <f t="shared" si="4"/>
        <v>64.56</v>
      </c>
      <c r="K23" s="9">
        <f t="shared" si="2"/>
        <v>45488</v>
      </c>
      <c r="L23" s="31" t="s">
        <v>9</v>
      </c>
      <c r="M23" s="6">
        <v>22.39</v>
      </c>
      <c r="N23" s="6">
        <v>0</v>
      </c>
      <c r="O23" s="33">
        <f t="shared" si="5"/>
        <v>22.39</v>
      </c>
    </row>
    <row r="24" spans="1:17" x14ac:dyDescent="0.3">
      <c r="F24" s="8" t="str">
        <f t="shared" si="1"/>
        <v/>
      </c>
      <c r="K24" s="9" t="str">
        <f t="shared" si="2"/>
        <v/>
      </c>
    </row>
    <row r="25" spans="1:17" x14ac:dyDescent="0.3">
      <c r="F25" s="8" t="str">
        <f t="shared" si="1"/>
        <v/>
      </c>
      <c r="K25" s="9" t="str">
        <f t="shared" si="2"/>
        <v/>
      </c>
    </row>
    <row r="26" spans="1:17" x14ac:dyDescent="0.3">
      <c r="F26" s="8" t="str">
        <f t="shared" si="1"/>
        <v/>
      </c>
      <c r="K26" s="9" t="str">
        <f t="shared" si="2"/>
        <v/>
      </c>
    </row>
    <row r="27" spans="1:17" x14ac:dyDescent="0.3">
      <c r="F27" s="8" t="str">
        <f t="shared" si="1"/>
        <v/>
      </c>
      <c r="K27" s="9" t="str">
        <f t="shared" si="2"/>
        <v/>
      </c>
    </row>
    <row r="28" spans="1:17" x14ac:dyDescent="0.3">
      <c r="D28" s="20"/>
      <c r="F28" s="8" t="str">
        <f t="shared" si="1"/>
        <v/>
      </c>
      <c r="K28" s="9" t="str">
        <f t="shared" si="2"/>
        <v/>
      </c>
    </row>
    <row r="29" spans="1:17" x14ac:dyDescent="0.3">
      <c r="F29" s="8" t="str">
        <f t="shared" si="1"/>
        <v/>
      </c>
      <c r="K29" s="9" t="str">
        <f t="shared" si="2"/>
        <v/>
      </c>
      <c r="Q29" s="51"/>
    </row>
    <row r="30" spans="1:17" x14ac:dyDescent="0.3">
      <c r="F30" s="8" t="str">
        <f t="shared" si="1"/>
        <v/>
      </c>
      <c r="I30" s="22"/>
      <c r="K30" s="9" t="str">
        <f t="shared" si="2"/>
        <v/>
      </c>
    </row>
    <row r="31" spans="1:17" x14ac:dyDescent="0.3">
      <c r="F31" s="8" t="str">
        <f t="shared" si="1"/>
        <v/>
      </c>
      <c r="K31" s="9" t="str">
        <f t="shared" si="2"/>
        <v/>
      </c>
    </row>
    <row r="32" spans="1:17" x14ac:dyDescent="0.3">
      <c r="F32" s="8" t="str">
        <f t="shared" si="1"/>
        <v/>
      </c>
      <c r="K32" s="9" t="str">
        <f t="shared" si="2"/>
        <v/>
      </c>
      <c r="Q32" s="51"/>
    </row>
    <row r="33" spans="6:17" x14ac:dyDescent="0.3">
      <c r="F33" s="8" t="str">
        <f t="shared" si="1"/>
        <v/>
      </c>
      <c r="K33" s="9" t="str">
        <f t="shared" si="2"/>
        <v/>
      </c>
    </row>
    <row r="34" spans="6:17" x14ac:dyDescent="0.3">
      <c r="F34" s="8" t="str">
        <f t="shared" si="1"/>
        <v/>
      </c>
      <c r="K34" s="9" t="str">
        <f t="shared" si="2"/>
        <v/>
      </c>
    </row>
    <row r="35" spans="6:17" x14ac:dyDescent="0.3">
      <c r="F35" s="8" t="str">
        <f t="shared" ref="F35:F66" si="6">IF(ISNUMBER(A35),A35,"")</f>
        <v/>
      </c>
      <c r="K35" s="9" t="str">
        <f t="shared" ref="K35:K68" si="7">IF(ISNUMBER(F35),F35,"")</f>
        <v/>
      </c>
    </row>
    <row r="36" spans="6:17" x14ac:dyDescent="0.3">
      <c r="F36" s="8" t="str">
        <f t="shared" si="6"/>
        <v/>
      </c>
      <c r="K36" s="9" t="str">
        <f t="shared" si="7"/>
        <v/>
      </c>
      <c r="Q36" s="51"/>
    </row>
    <row r="37" spans="6:17" x14ac:dyDescent="0.3">
      <c r="F37" s="8" t="str">
        <f t="shared" si="6"/>
        <v/>
      </c>
      <c r="K37" s="9" t="str">
        <f t="shared" si="7"/>
        <v/>
      </c>
    </row>
    <row r="38" spans="6:17" x14ac:dyDescent="0.3">
      <c r="F38" s="8" t="str">
        <f t="shared" si="6"/>
        <v/>
      </c>
      <c r="K38" s="9" t="str">
        <f t="shared" si="7"/>
        <v/>
      </c>
    </row>
    <row r="39" spans="6:17" x14ac:dyDescent="0.3">
      <c r="F39" s="8" t="str">
        <f t="shared" si="6"/>
        <v/>
      </c>
      <c r="K39" s="9" t="str">
        <f t="shared" si="7"/>
        <v/>
      </c>
    </row>
    <row r="40" spans="6:17" x14ac:dyDescent="0.3">
      <c r="F40" s="8" t="str">
        <f t="shared" si="6"/>
        <v/>
      </c>
      <c r="K40" s="9" t="str">
        <f t="shared" si="7"/>
        <v/>
      </c>
      <c r="Q40" s="51"/>
    </row>
    <row r="41" spans="6:17" x14ac:dyDescent="0.3">
      <c r="F41" s="8" t="str">
        <f t="shared" si="6"/>
        <v/>
      </c>
      <c r="K41" s="9" t="str">
        <f t="shared" si="7"/>
        <v/>
      </c>
    </row>
    <row r="42" spans="6:17" x14ac:dyDescent="0.3">
      <c r="F42" s="8" t="str">
        <f t="shared" si="6"/>
        <v/>
      </c>
      <c r="K42" s="9" t="str">
        <f t="shared" si="7"/>
        <v/>
      </c>
    </row>
    <row r="43" spans="6:17" x14ac:dyDescent="0.3">
      <c r="F43" s="8" t="str">
        <f t="shared" si="6"/>
        <v/>
      </c>
      <c r="K43" s="9" t="str">
        <f t="shared" si="7"/>
        <v/>
      </c>
    </row>
    <row r="44" spans="6:17" x14ac:dyDescent="0.3">
      <c r="F44" s="8" t="str">
        <f t="shared" si="6"/>
        <v/>
      </c>
      <c r="K44" s="9" t="str">
        <f t="shared" si="7"/>
        <v/>
      </c>
    </row>
    <row r="45" spans="6:17" x14ac:dyDescent="0.3">
      <c r="F45" s="8" t="str">
        <f t="shared" si="6"/>
        <v/>
      </c>
      <c r="K45" s="9" t="str">
        <f t="shared" si="7"/>
        <v/>
      </c>
    </row>
    <row r="46" spans="6:17" x14ac:dyDescent="0.3">
      <c r="F46" s="8" t="str">
        <f t="shared" si="6"/>
        <v/>
      </c>
      <c r="K46" s="9" t="str">
        <f t="shared" si="7"/>
        <v/>
      </c>
    </row>
    <row r="47" spans="6:17" x14ac:dyDescent="0.3">
      <c r="F47" s="8" t="str">
        <f t="shared" si="6"/>
        <v/>
      </c>
      <c r="K47" s="9" t="str">
        <f t="shared" si="7"/>
        <v/>
      </c>
    </row>
    <row r="48" spans="6:17" x14ac:dyDescent="0.3">
      <c r="F48" s="8" t="str">
        <f t="shared" si="6"/>
        <v/>
      </c>
      <c r="K48" s="9" t="str">
        <f t="shared" si="7"/>
        <v/>
      </c>
    </row>
    <row r="49" spans="6:11" x14ac:dyDescent="0.3">
      <c r="F49" s="8" t="str">
        <f t="shared" si="6"/>
        <v/>
      </c>
      <c r="K49" s="9" t="str">
        <f t="shared" si="7"/>
        <v/>
      </c>
    </row>
    <row r="50" spans="6:11" x14ac:dyDescent="0.3">
      <c r="F50" s="8" t="str">
        <f t="shared" si="6"/>
        <v/>
      </c>
      <c r="K50" s="9" t="str">
        <f t="shared" si="7"/>
        <v/>
      </c>
    </row>
    <row r="51" spans="6:11" x14ac:dyDescent="0.3">
      <c r="F51" s="8" t="str">
        <f t="shared" si="6"/>
        <v/>
      </c>
      <c r="K51" s="9" t="str">
        <f t="shared" si="7"/>
        <v/>
      </c>
    </row>
    <row r="52" spans="6:11" x14ac:dyDescent="0.3">
      <c r="F52" s="8" t="str">
        <f t="shared" si="6"/>
        <v/>
      </c>
      <c r="K52" s="9" t="str">
        <f t="shared" si="7"/>
        <v/>
      </c>
    </row>
    <row r="53" spans="6:11" x14ac:dyDescent="0.3">
      <c r="F53" s="8" t="str">
        <f t="shared" si="6"/>
        <v/>
      </c>
      <c r="K53" s="9" t="str">
        <f t="shared" si="7"/>
        <v/>
      </c>
    </row>
    <row r="54" spans="6:11" x14ac:dyDescent="0.3">
      <c r="F54" s="8" t="str">
        <f t="shared" si="6"/>
        <v/>
      </c>
      <c r="K54" s="9" t="str">
        <f t="shared" si="7"/>
        <v/>
      </c>
    </row>
    <row r="55" spans="6:11" x14ac:dyDescent="0.3">
      <c r="F55" s="8" t="str">
        <f t="shared" si="6"/>
        <v/>
      </c>
      <c r="K55" s="9" t="str">
        <f t="shared" si="7"/>
        <v/>
      </c>
    </row>
    <row r="56" spans="6:11" x14ac:dyDescent="0.3">
      <c r="F56" s="8" t="str">
        <f t="shared" si="6"/>
        <v/>
      </c>
      <c r="K56" s="9" t="str">
        <f t="shared" si="7"/>
        <v/>
      </c>
    </row>
    <row r="57" spans="6:11" x14ac:dyDescent="0.3">
      <c r="F57" s="8" t="str">
        <f t="shared" si="6"/>
        <v/>
      </c>
      <c r="K57" s="9" t="str">
        <f t="shared" si="7"/>
        <v/>
      </c>
    </row>
    <row r="58" spans="6:11" x14ac:dyDescent="0.3">
      <c r="F58" s="8" t="str">
        <f t="shared" si="6"/>
        <v/>
      </c>
      <c r="K58" s="9" t="str">
        <f t="shared" si="7"/>
        <v/>
      </c>
    </row>
    <row r="59" spans="6:11" x14ac:dyDescent="0.3">
      <c r="F59" s="8" t="str">
        <f t="shared" si="6"/>
        <v/>
      </c>
      <c r="K59" s="9" t="str">
        <f t="shared" si="7"/>
        <v/>
      </c>
    </row>
    <row r="60" spans="6:11" x14ac:dyDescent="0.3">
      <c r="F60" s="8" t="str">
        <f t="shared" si="6"/>
        <v/>
      </c>
      <c r="K60" s="9" t="str">
        <f t="shared" si="7"/>
        <v/>
      </c>
    </row>
    <row r="61" spans="6:11" x14ac:dyDescent="0.3">
      <c r="F61" s="8" t="str">
        <f t="shared" si="6"/>
        <v/>
      </c>
      <c r="K61" s="9" t="str">
        <f t="shared" si="7"/>
        <v/>
      </c>
    </row>
    <row r="62" spans="6:11" x14ac:dyDescent="0.3">
      <c r="F62" s="8" t="str">
        <f t="shared" si="6"/>
        <v/>
      </c>
      <c r="K62" s="9" t="str">
        <f t="shared" si="7"/>
        <v/>
      </c>
    </row>
    <row r="63" spans="6:11" x14ac:dyDescent="0.3">
      <c r="F63" s="8" t="str">
        <f t="shared" si="6"/>
        <v/>
      </c>
      <c r="K63" s="9" t="str">
        <f t="shared" si="7"/>
        <v/>
      </c>
    </row>
    <row r="64" spans="6:11" x14ac:dyDescent="0.3">
      <c r="F64" s="8" t="str">
        <f t="shared" si="6"/>
        <v/>
      </c>
      <c r="K64" s="9" t="str">
        <f t="shared" si="7"/>
        <v/>
      </c>
    </row>
    <row r="65" spans="6:11" x14ac:dyDescent="0.3">
      <c r="F65" s="8" t="str">
        <f t="shared" si="6"/>
        <v/>
      </c>
      <c r="K65" s="9" t="str">
        <f t="shared" si="7"/>
        <v/>
      </c>
    </row>
    <row r="66" spans="6:11" x14ac:dyDescent="0.3">
      <c r="F66" s="8" t="str">
        <f t="shared" si="6"/>
        <v/>
      </c>
      <c r="K66" s="9" t="str">
        <f t="shared" si="7"/>
        <v/>
      </c>
    </row>
    <row r="67" spans="6:11" x14ac:dyDescent="0.3">
      <c r="F67" s="8" t="str">
        <f t="shared" ref="F67:F77" si="8">IF(ISNUMBER(A67),A67,"")</f>
        <v/>
      </c>
      <c r="K67" s="9" t="str">
        <f t="shared" si="7"/>
        <v/>
      </c>
    </row>
    <row r="68" spans="6:11" x14ac:dyDescent="0.3">
      <c r="F68" s="8" t="str">
        <f t="shared" si="8"/>
        <v/>
      </c>
      <c r="K68" s="9" t="str">
        <f t="shared" si="7"/>
        <v/>
      </c>
    </row>
    <row r="69" spans="6:11" x14ac:dyDescent="0.3">
      <c r="F69" s="8" t="str">
        <f t="shared" si="8"/>
        <v/>
      </c>
      <c r="K69" s="9" t="str">
        <f t="shared" ref="K69:K77" si="9">IF(ISNUMBER(F69),F69,"")</f>
        <v/>
      </c>
    </row>
    <row r="70" spans="6:11" x14ac:dyDescent="0.3">
      <c r="F70" s="8" t="str">
        <f t="shared" si="8"/>
        <v/>
      </c>
      <c r="K70" s="9" t="str">
        <f t="shared" si="9"/>
        <v/>
      </c>
    </row>
    <row r="71" spans="6:11" x14ac:dyDescent="0.3">
      <c r="F71" s="8" t="str">
        <f t="shared" si="8"/>
        <v/>
      </c>
      <c r="K71" s="9" t="str">
        <f t="shared" si="9"/>
        <v/>
      </c>
    </row>
    <row r="72" spans="6:11" x14ac:dyDescent="0.3">
      <c r="F72" s="8" t="str">
        <f t="shared" si="8"/>
        <v/>
      </c>
      <c r="K72" s="9" t="str">
        <f t="shared" si="9"/>
        <v/>
      </c>
    </row>
    <row r="73" spans="6:11" x14ac:dyDescent="0.3">
      <c r="F73" s="8" t="str">
        <f t="shared" si="8"/>
        <v/>
      </c>
      <c r="K73" s="9" t="str">
        <f t="shared" si="9"/>
        <v/>
      </c>
    </row>
    <row r="74" spans="6:11" x14ac:dyDescent="0.3">
      <c r="F74" s="8" t="str">
        <f t="shared" si="8"/>
        <v/>
      </c>
      <c r="K74" s="9" t="str">
        <f t="shared" si="9"/>
        <v/>
      </c>
    </row>
    <row r="75" spans="6:11" x14ac:dyDescent="0.3">
      <c r="F75" s="8" t="str">
        <f t="shared" si="8"/>
        <v/>
      </c>
      <c r="K75" s="9" t="str">
        <f t="shared" si="9"/>
        <v/>
      </c>
    </row>
    <row r="76" spans="6:11" x14ac:dyDescent="0.3">
      <c r="F76" s="8" t="str">
        <f t="shared" si="8"/>
        <v/>
      </c>
      <c r="K76" s="9" t="str">
        <f t="shared" si="9"/>
        <v/>
      </c>
    </row>
    <row r="77" spans="6:11" x14ac:dyDescent="0.3">
      <c r="F77" s="8" t="str">
        <f t="shared" si="8"/>
        <v/>
      </c>
      <c r="K77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8"/>
  <sheetViews>
    <sheetView zoomScaleNormal="100" workbookViewId="0">
      <selection activeCell="A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13.542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</cols>
  <sheetData>
    <row r="1" spans="1:16" x14ac:dyDescent="0.3">
      <c r="A1" s="1" t="s">
        <v>43</v>
      </c>
      <c r="F1" s="3" t="s">
        <v>45</v>
      </c>
      <c r="K1" s="5" t="s">
        <v>46</v>
      </c>
    </row>
    <row r="2" spans="1:16" s="80" customFormat="1" ht="34.5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6" x14ac:dyDescent="0.3">
      <c r="A3" s="7">
        <v>28460</v>
      </c>
      <c r="B3" s="10" t="s">
        <v>47</v>
      </c>
      <c r="C3" s="2">
        <v>27.7</v>
      </c>
      <c r="D3" s="2">
        <v>9.98</v>
      </c>
      <c r="E3" s="16">
        <f>D3+C3</f>
        <v>37.68</v>
      </c>
      <c r="F3" s="8">
        <f t="shared" ref="F3:F34" si="0">IF(ISNUMBER(A3),A3,"")</f>
        <v>28460</v>
      </c>
      <c r="G3" s="11" t="s">
        <v>48</v>
      </c>
      <c r="H3" s="22">
        <v>9</v>
      </c>
      <c r="I3" s="4">
        <v>17.989999999999998</v>
      </c>
      <c r="J3" s="17">
        <f t="shared" ref="J3:J8" si="1">I3+H3</f>
        <v>26.99</v>
      </c>
      <c r="K3" s="9">
        <f t="shared" ref="K3:K34" si="2">IF(ISNUMBER(F3),F3,"")</f>
        <v>28460</v>
      </c>
      <c r="L3" s="12" t="s">
        <v>49</v>
      </c>
      <c r="M3" s="6">
        <v>10.8</v>
      </c>
      <c r="N3" s="6">
        <v>22.48</v>
      </c>
      <c r="O3" s="18">
        <f t="shared" ref="O3:O8" si="3">N3+M3</f>
        <v>33.28</v>
      </c>
    </row>
    <row r="4" spans="1:16" x14ac:dyDescent="0.3">
      <c r="A4" s="7">
        <v>29530</v>
      </c>
      <c r="B4" s="10" t="s">
        <v>47</v>
      </c>
      <c r="C4" s="2">
        <v>27</v>
      </c>
      <c r="D4" s="2">
        <v>9.98</v>
      </c>
      <c r="E4" s="16">
        <f>D4+C4</f>
        <v>36.980000000000004</v>
      </c>
      <c r="F4" s="8">
        <f t="shared" si="0"/>
        <v>29530</v>
      </c>
      <c r="G4" s="11">
        <v>5</v>
      </c>
      <c r="H4" s="22">
        <v>25.6</v>
      </c>
      <c r="I4" s="4">
        <v>0</v>
      </c>
      <c r="J4" s="17">
        <f t="shared" si="1"/>
        <v>25.6</v>
      </c>
      <c r="K4" s="9">
        <f t="shared" si="2"/>
        <v>29530</v>
      </c>
      <c r="L4" s="12">
        <v>6</v>
      </c>
      <c r="M4" s="6">
        <v>30</v>
      </c>
      <c r="N4" s="6">
        <v>0</v>
      </c>
      <c r="O4" s="18">
        <f t="shared" si="3"/>
        <v>30</v>
      </c>
    </row>
    <row r="5" spans="1:16" x14ac:dyDescent="0.3">
      <c r="A5" s="7">
        <v>31731</v>
      </c>
      <c r="B5" s="10" t="s">
        <v>47</v>
      </c>
      <c r="C5" s="2">
        <v>23.4</v>
      </c>
      <c r="D5" s="2">
        <v>9.98</v>
      </c>
      <c r="E5" s="16">
        <f>D5+C5</f>
        <v>33.379999999999995</v>
      </c>
      <c r="F5" s="8">
        <f t="shared" si="0"/>
        <v>31731</v>
      </c>
      <c r="G5" s="11">
        <v>5</v>
      </c>
      <c r="H5" s="22">
        <v>23.1</v>
      </c>
      <c r="I5" s="4">
        <v>0</v>
      </c>
      <c r="J5" s="17">
        <f t="shared" si="1"/>
        <v>23.1</v>
      </c>
      <c r="K5" s="9">
        <f t="shared" si="2"/>
        <v>31731</v>
      </c>
      <c r="L5" s="12">
        <v>6</v>
      </c>
      <c r="M5" s="6">
        <v>29.01</v>
      </c>
      <c r="N5" s="6">
        <v>0</v>
      </c>
      <c r="O5" s="18">
        <f t="shared" si="3"/>
        <v>29.01</v>
      </c>
    </row>
    <row r="6" spans="1:16" x14ac:dyDescent="0.3">
      <c r="A6" s="7">
        <v>32399</v>
      </c>
      <c r="B6" s="10" t="s">
        <v>47</v>
      </c>
      <c r="C6" s="2">
        <v>20.399999999999999</v>
      </c>
      <c r="D6" s="2">
        <v>9.98</v>
      </c>
      <c r="E6" s="16">
        <f>D6+C6</f>
        <v>30.38</v>
      </c>
      <c r="F6" s="8">
        <f t="shared" si="0"/>
        <v>32399</v>
      </c>
      <c r="G6" s="11" t="s">
        <v>48</v>
      </c>
      <c r="H6" s="22">
        <v>5.05</v>
      </c>
      <c r="I6" s="4">
        <v>17.989999999999998</v>
      </c>
      <c r="J6" s="17">
        <f t="shared" si="1"/>
        <v>23.04</v>
      </c>
      <c r="K6" s="9">
        <f t="shared" si="2"/>
        <v>32399</v>
      </c>
      <c r="L6" s="12" t="s">
        <v>49</v>
      </c>
      <c r="M6" s="6">
        <v>6.25</v>
      </c>
      <c r="N6" s="6">
        <v>22.48</v>
      </c>
      <c r="O6" s="18">
        <f t="shared" si="3"/>
        <v>28.73</v>
      </c>
    </row>
    <row r="7" spans="1:16" x14ac:dyDescent="0.3">
      <c r="A7" s="7">
        <v>32933</v>
      </c>
      <c r="E7" s="16"/>
      <c r="F7" s="8">
        <f t="shared" si="0"/>
        <v>32933</v>
      </c>
      <c r="G7" s="11" t="s">
        <v>48</v>
      </c>
      <c r="H7" s="22">
        <v>4.2</v>
      </c>
      <c r="I7" s="4">
        <v>17.989999999999998</v>
      </c>
      <c r="J7" s="17">
        <f t="shared" si="1"/>
        <v>22.189999999999998</v>
      </c>
      <c r="K7" s="9">
        <f t="shared" si="2"/>
        <v>32933</v>
      </c>
      <c r="L7" s="12" t="s">
        <v>49</v>
      </c>
      <c r="M7" s="6">
        <v>4.95</v>
      </c>
      <c r="N7" s="6">
        <v>22.48</v>
      </c>
      <c r="O7" s="18">
        <f t="shared" si="3"/>
        <v>27.43</v>
      </c>
    </row>
    <row r="8" spans="1:16" x14ac:dyDescent="0.3">
      <c r="A8" s="7">
        <v>34894</v>
      </c>
      <c r="B8" s="10" t="s">
        <v>47</v>
      </c>
      <c r="C8" s="2">
        <v>20.11</v>
      </c>
      <c r="D8" s="2">
        <v>9.98</v>
      </c>
      <c r="E8" s="16">
        <f t="shared" ref="E8:E18" si="4">D8+C8</f>
        <v>30.09</v>
      </c>
      <c r="F8" s="8">
        <f t="shared" si="0"/>
        <v>34894</v>
      </c>
      <c r="G8" s="11" t="s">
        <v>48</v>
      </c>
      <c r="H8" s="22">
        <v>2.63</v>
      </c>
      <c r="I8" s="4">
        <v>17.989999999999998</v>
      </c>
      <c r="J8" s="17">
        <f t="shared" si="1"/>
        <v>20.619999999999997</v>
      </c>
      <c r="K8" s="9">
        <f t="shared" si="2"/>
        <v>34894</v>
      </c>
      <c r="L8" s="12" t="s">
        <v>49</v>
      </c>
      <c r="M8" s="6">
        <v>4.32</v>
      </c>
      <c r="N8" s="6">
        <v>22.48</v>
      </c>
      <c r="O8" s="18">
        <f t="shared" si="3"/>
        <v>26.8</v>
      </c>
    </row>
    <row r="9" spans="1:16" x14ac:dyDescent="0.3">
      <c r="A9" s="7">
        <v>38548</v>
      </c>
      <c r="B9" s="28" t="s">
        <v>87</v>
      </c>
      <c r="C9" s="2">
        <v>17.04</v>
      </c>
      <c r="D9" s="2">
        <v>9.98</v>
      </c>
      <c r="E9" s="16">
        <f t="shared" si="4"/>
        <v>27.02</v>
      </c>
      <c r="F9" s="8">
        <f t="shared" si="0"/>
        <v>38548</v>
      </c>
      <c r="G9" s="30" t="s">
        <v>89</v>
      </c>
      <c r="H9" s="22">
        <v>51.1</v>
      </c>
      <c r="J9" s="17"/>
      <c r="K9" s="9">
        <f t="shared" si="2"/>
        <v>38548</v>
      </c>
      <c r="O9" s="18"/>
      <c r="P9" s="29" t="s">
        <v>88</v>
      </c>
    </row>
    <row r="10" spans="1:16" x14ac:dyDescent="0.3">
      <c r="A10" s="7">
        <v>38916</v>
      </c>
      <c r="B10" s="26" t="s">
        <v>47</v>
      </c>
      <c r="C10" s="2">
        <v>17.28</v>
      </c>
      <c r="D10" s="2">
        <v>9.98</v>
      </c>
      <c r="E10" s="16">
        <f t="shared" si="4"/>
        <v>27.26</v>
      </c>
      <c r="F10" s="8">
        <f t="shared" si="0"/>
        <v>38916</v>
      </c>
      <c r="G10" s="11">
        <v>50</v>
      </c>
      <c r="H10" s="22">
        <v>50.33</v>
      </c>
      <c r="J10" s="17"/>
      <c r="K10" s="9">
        <f t="shared" si="2"/>
        <v>38916</v>
      </c>
      <c r="O10" s="18"/>
    </row>
    <row r="11" spans="1:16" x14ac:dyDescent="0.3">
      <c r="A11" s="7">
        <v>38985</v>
      </c>
      <c r="B11" s="10" t="s">
        <v>47</v>
      </c>
      <c r="C11" s="2">
        <v>17.21</v>
      </c>
      <c r="D11" s="2">
        <v>9.98</v>
      </c>
      <c r="E11" s="16">
        <f t="shared" si="4"/>
        <v>27.19</v>
      </c>
      <c r="F11" s="8">
        <f t="shared" si="0"/>
        <v>38985</v>
      </c>
      <c r="G11" s="11">
        <v>5</v>
      </c>
      <c r="H11" s="22">
        <v>16.36</v>
      </c>
      <c r="I11" s="4">
        <v>0</v>
      </c>
      <c r="J11" s="17">
        <f>I11+H11</f>
        <v>16.36</v>
      </c>
      <c r="K11" s="9">
        <f t="shared" si="2"/>
        <v>38985</v>
      </c>
    </row>
    <row r="12" spans="1:16" x14ac:dyDescent="0.3">
      <c r="A12" s="7">
        <v>40008</v>
      </c>
      <c r="B12" s="28" t="s">
        <v>47</v>
      </c>
      <c r="C12" s="20">
        <v>17.100000000000001</v>
      </c>
      <c r="D12" s="2">
        <v>9.98</v>
      </c>
      <c r="E12" s="1">
        <f t="shared" si="4"/>
        <v>27.080000000000002</v>
      </c>
      <c r="F12" s="8">
        <f t="shared" si="0"/>
        <v>40008</v>
      </c>
      <c r="G12" s="11">
        <v>5</v>
      </c>
      <c r="H12" s="52">
        <v>16.307391304347824</v>
      </c>
      <c r="I12" s="4">
        <v>0</v>
      </c>
      <c r="J12" s="53" t="s">
        <v>112</v>
      </c>
      <c r="K12" s="9">
        <f t="shared" si="2"/>
        <v>40008</v>
      </c>
      <c r="P12" s="29" t="s">
        <v>113</v>
      </c>
    </row>
    <row r="13" spans="1:16" x14ac:dyDescent="0.3">
      <c r="A13" s="7">
        <v>40802</v>
      </c>
      <c r="B13" s="28" t="s">
        <v>47</v>
      </c>
      <c r="C13" s="2">
        <v>16.75</v>
      </c>
      <c r="D13" s="2">
        <v>9.98</v>
      </c>
      <c r="E13" s="1">
        <f t="shared" si="4"/>
        <v>26.73</v>
      </c>
      <c r="F13" s="8">
        <f t="shared" si="0"/>
        <v>40802</v>
      </c>
      <c r="G13" s="11">
        <v>5</v>
      </c>
      <c r="H13" s="22">
        <v>16.07</v>
      </c>
      <c r="I13" s="4">
        <v>0</v>
      </c>
      <c r="J13" s="17">
        <f>I13+H13</f>
        <v>16.07</v>
      </c>
      <c r="K13" s="9">
        <f t="shared" si="2"/>
        <v>40802</v>
      </c>
      <c r="L13" s="12">
        <v>6</v>
      </c>
      <c r="M13" s="6">
        <v>21.32</v>
      </c>
      <c r="N13" s="6">
        <v>0</v>
      </c>
      <c r="O13" s="18">
        <f>N13+M13</f>
        <v>21.32</v>
      </c>
    </row>
    <row r="14" spans="1:16" x14ac:dyDescent="0.3">
      <c r="A14" s="7">
        <v>41457</v>
      </c>
      <c r="B14" s="28" t="s">
        <v>47</v>
      </c>
      <c r="C14" s="2">
        <v>16.36</v>
      </c>
      <c r="D14" s="2">
        <v>9.98</v>
      </c>
      <c r="E14" s="1">
        <f t="shared" si="4"/>
        <v>26.34</v>
      </c>
      <c r="F14" s="8">
        <f t="shared" si="0"/>
        <v>41457</v>
      </c>
      <c r="G14" s="11">
        <v>5</v>
      </c>
      <c r="H14" s="22">
        <v>16.100000000000001</v>
      </c>
      <c r="I14" s="4">
        <v>0</v>
      </c>
      <c r="J14" s="17">
        <f>I14+H14</f>
        <v>16.100000000000001</v>
      </c>
      <c r="K14" s="9">
        <f t="shared" si="2"/>
        <v>41457</v>
      </c>
      <c r="O14" s="18"/>
    </row>
    <row r="15" spans="1:16" x14ac:dyDescent="0.3">
      <c r="A15" s="7">
        <v>42198</v>
      </c>
      <c r="B15" s="28" t="s">
        <v>47</v>
      </c>
      <c r="C15" s="2">
        <v>15.74</v>
      </c>
      <c r="D15" s="2">
        <v>9.98</v>
      </c>
      <c r="E15" s="1">
        <f t="shared" si="4"/>
        <v>25.72</v>
      </c>
      <c r="F15" s="8">
        <f t="shared" si="0"/>
        <v>42198</v>
      </c>
      <c r="G15" s="11">
        <v>51</v>
      </c>
      <c r="H15" s="4">
        <v>19.37</v>
      </c>
      <c r="I15" s="4">
        <v>3.53</v>
      </c>
      <c r="J15" s="50">
        <f t="shared" ref="J15:J20" si="5">H15-I15</f>
        <v>15.840000000000002</v>
      </c>
      <c r="K15" s="9">
        <f t="shared" si="2"/>
        <v>42198</v>
      </c>
      <c r="L15" s="31" t="s">
        <v>132</v>
      </c>
      <c r="M15" s="6">
        <v>19.37</v>
      </c>
      <c r="N15" s="6">
        <v>0</v>
      </c>
      <c r="O15" s="76">
        <f>N15+M15</f>
        <v>19.37</v>
      </c>
      <c r="P15" s="29" t="s">
        <v>133</v>
      </c>
    </row>
    <row r="16" spans="1:16" x14ac:dyDescent="0.3">
      <c r="A16" s="7">
        <v>42627</v>
      </c>
      <c r="B16" s="10">
        <v>4</v>
      </c>
      <c r="C16" s="2">
        <v>25.82</v>
      </c>
      <c r="D16" s="2">
        <v>0</v>
      </c>
      <c r="E16" s="75">
        <f t="shared" si="4"/>
        <v>25.82</v>
      </c>
      <c r="F16" s="8">
        <f t="shared" si="0"/>
        <v>42627</v>
      </c>
      <c r="G16" s="11">
        <v>50</v>
      </c>
      <c r="H16" s="11">
        <v>50.5</v>
      </c>
      <c r="I16" s="4">
        <v>34.61</v>
      </c>
      <c r="J16" s="50">
        <f t="shared" si="5"/>
        <v>15.89</v>
      </c>
      <c r="K16" s="9">
        <f t="shared" si="2"/>
        <v>42627</v>
      </c>
      <c r="L16" s="31" t="s">
        <v>132</v>
      </c>
      <c r="M16" s="6">
        <v>21.76</v>
      </c>
      <c r="N16" s="6">
        <v>0</v>
      </c>
      <c r="O16" s="76">
        <f>N16+M16</f>
        <v>21.76</v>
      </c>
      <c r="P16" s="29" t="s">
        <v>133</v>
      </c>
    </row>
    <row r="17" spans="1:18" x14ac:dyDescent="0.3">
      <c r="A17" s="7">
        <v>42905</v>
      </c>
      <c r="B17" s="28" t="s">
        <v>47</v>
      </c>
      <c r="C17" s="2">
        <v>15.5</v>
      </c>
      <c r="D17" s="2">
        <v>9.98</v>
      </c>
      <c r="E17" s="1">
        <f t="shared" si="4"/>
        <v>25.48</v>
      </c>
      <c r="F17" s="8">
        <f t="shared" si="0"/>
        <v>42905</v>
      </c>
      <c r="G17" s="11">
        <v>51</v>
      </c>
      <c r="H17" s="4">
        <v>19.02</v>
      </c>
      <c r="I17" s="4">
        <v>3.53</v>
      </c>
      <c r="J17" s="50">
        <f t="shared" si="5"/>
        <v>15.49</v>
      </c>
      <c r="K17" s="9">
        <f t="shared" si="2"/>
        <v>42905</v>
      </c>
      <c r="O17" s="76"/>
      <c r="P17" s="29" t="s">
        <v>143</v>
      </c>
      <c r="R17" s="51"/>
    </row>
    <row r="18" spans="1:18" x14ac:dyDescent="0.3">
      <c r="A18" s="7">
        <v>43745</v>
      </c>
      <c r="B18" s="28" t="s">
        <v>47</v>
      </c>
      <c r="C18" s="2">
        <v>15.3</v>
      </c>
      <c r="D18" s="2">
        <v>9.98</v>
      </c>
      <c r="E18" s="1">
        <f t="shared" si="4"/>
        <v>25.28</v>
      </c>
      <c r="F18" s="8">
        <f t="shared" si="0"/>
        <v>43745</v>
      </c>
      <c r="G18" s="11">
        <v>51</v>
      </c>
      <c r="H18" s="22">
        <v>19</v>
      </c>
      <c r="I18" s="4">
        <v>3.53</v>
      </c>
      <c r="J18" s="50">
        <f t="shared" si="5"/>
        <v>15.47</v>
      </c>
      <c r="K18" s="9">
        <f t="shared" si="2"/>
        <v>43745</v>
      </c>
      <c r="L18" s="31" t="s">
        <v>132</v>
      </c>
      <c r="M18" s="6">
        <v>20.18</v>
      </c>
      <c r="N18" s="6">
        <v>0</v>
      </c>
      <c r="O18" s="76">
        <f>N18+M18</f>
        <v>20.18</v>
      </c>
    </row>
    <row r="19" spans="1:18" x14ac:dyDescent="0.3">
      <c r="A19" s="7">
        <v>44348</v>
      </c>
      <c r="B19" s="10" t="s">
        <v>97</v>
      </c>
      <c r="F19" s="8">
        <f t="shared" si="0"/>
        <v>44348</v>
      </c>
      <c r="G19" s="11">
        <v>51</v>
      </c>
      <c r="H19" s="4">
        <v>18.82</v>
      </c>
      <c r="I19" s="4">
        <v>3.53</v>
      </c>
      <c r="J19" s="50">
        <f t="shared" si="5"/>
        <v>15.290000000000001</v>
      </c>
      <c r="K19" s="9">
        <f t="shared" si="2"/>
        <v>44348</v>
      </c>
      <c r="L19" s="31" t="s">
        <v>132</v>
      </c>
      <c r="M19" s="6">
        <v>19.670000000000002</v>
      </c>
      <c r="N19" s="6">
        <v>0</v>
      </c>
      <c r="O19" s="76">
        <f>N19+M19</f>
        <v>19.670000000000002</v>
      </c>
      <c r="P19" s="29" t="s">
        <v>163</v>
      </c>
    </row>
    <row r="20" spans="1:18" x14ac:dyDescent="0.3">
      <c r="A20" s="7">
        <v>45485</v>
      </c>
      <c r="B20" s="10">
        <v>4</v>
      </c>
      <c r="C20" s="2">
        <v>25.17</v>
      </c>
      <c r="D20" s="2">
        <v>0</v>
      </c>
      <c r="E20" s="1">
        <f>D20+C20</f>
        <v>25.17</v>
      </c>
      <c r="F20" s="8">
        <f t="shared" si="0"/>
        <v>45485</v>
      </c>
      <c r="G20" s="11">
        <v>5</v>
      </c>
      <c r="H20" s="4">
        <v>15.18</v>
      </c>
      <c r="I20" s="4">
        <v>0</v>
      </c>
      <c r="J20" s="50">
        <f t="shared" si="5"/>
        <v>15.18</v>
      </c>
      <c r="K20" s="9">
        <f t="shared" si="2"/>
        <v>45485</v>
      </c>
      <c r="L20" s="31" t="s">
        <v>132</v>
      </c>
      <c r="M20" s="6">
        <v>19.61</v>
      </c>
      <c r="N20" s="6">
        <v>0</v>
      </c>
      <c r="O20" s="18">
        <f>N20+M20</f>
        <v>19.61</v>
      </c>
    </row>
    <row r="21" spans="1:18" x14ac:dyDescent="0.3">
      <c r="F21" s="8" t="str">
        <f t="shared" si="0"/>
        <v/>
      </c>
      <c r="K21" s="9" t="str">
        <f t="shared" si="2"/>
        <v/>
      </c>
    </row>
    <row r="22" spans="1:18" x14ac:dyDescent="0.3">
      <c r="F22" s="8" t="str">
        <f t="shared" si="0"/>
        <v/>
      </c>
      <c r="K22" s="9" t="str">
        <f t="shared" si="2"/>
        <v/>
      </c>
    </row>
    <row r="23" spans="1:18" x14ac:dyDescent="0.3">
      <c r="F23" s="8" t="str">
        <f t="shared" si="0"/>
        <v/>
      </c>
      <c r="K23" s="9" t="str">
        <f t="shared" si="2"/>
        <v/>
      </c>
    </row>
    <row r="24" spans="1:18" x14ac:dyDescent="0.3">
      <c r="F24" s="8" t="str">
        <f t="shared" si="0"/>
        <v/>
      </c>
      <c r="K24" s="9" t="str">
        <f t="shared" si="2"/>
        <v/>
      </c>
    </row>
    <row r="25" spans="1:18" x14ac:dyDescent="0.3">
      <c r="F25" s="8" t="str">
        <f t="shared" si="0"/>
        <v/>
      </c>
      <c r="K25" s="9" t="str">
        <f t="shared" si="2"/>
        <v/>
      </c>
    </row>
    <row r="26" spans="1:18" x14ac:dyDescent="0.3">
      <c r="F26" s="8" t="str">
        <f t="shared" si="0"/>
        <v/>
      </c>
      <c r="K26" s="9" t="str">
        <f t="shared" si="2"/>
        <v/>
      </c>
    </row>
    <row r="27" spans="1:18" x14ac:dyDescent="0.3">
      <c r="F27" s="8" t="str">
        <f t="shared" si="0"/>
        <v/>
      </c>
      <c r="K27" s="9" t="str">
        <f t="shared" si="2"/>
        <v/>
      </c>
    </row>
    <row r="28" spans="1:18" x14ac:dyDescent="0.3">
      <c r="F28" s="8" t="str">
        <f t="shared" si="0"/>
        <v/>
      </c>
      <c r="K28" s="9" t="str">
        <f t="shared" si="2"/>
        <v/>
      </c>
    </row>
    <row r="29" spans="1:18" x14ac:dyDescent="0.3">
      <c r="F29" s="8" t="str">
        <f t="shared" si="0"/>
        <v/>
      </c>
      <c r="K29" s="9" t="str">
        <f t="shared" si="2"/>
        <v/>
      </c>
    </row>
    <row r="30" spans="1:18" x14ac:dyDescent="0.3">
      <c r="F30" s="8" t="str">
        <f t="shared" si="0"/>
        <v/>
      </c>
      <c r="K30" s="9" t="str">
        <f t="shared" si="2"/>
        <v/>
      </c>
    </row>
    <row r="31" spans="1:18" x14ac:dyDescent="0.3">
      <c r="F31" s="8" t="str">
        <f t="shared" si="0"/>
        <v/>
      </c>
      <c r="K31" s="9" t="str">
        <f t="shared" si="2"/>
        <v/>
      </c>
    </row>
    <row r="32" spans="1:18" x14ac:dyDescent="0.3">
      <c r="F32" s="8" t="str">
        <f t="shared" si="0"/>
        <v/>
      </c>
      <c r="K32" s="9" t="str">
        <f t="shared" si="2"/>
        <v/>
      </c>
    </row>
    <row r="33" spans="6:11" x14ac:dyDescent="0.3">
      <c r="F33" s="8" t="str">
        <f t="shared" si="0"/>
        <v/>
      </c>
      <c r="K33" s="9" t="str">
        <f t="shared" si="2"/>
        <v/>
      </c>
    </row>
    <row r="34" spans="6:11" x14ac:dyDescent="0.3">
      <c r="F34" s="8" t="str">
        <f t="shared" si="0"/>
        <v/>
      </c>
      <c r="K34" s="9" t="str">
        <f t="shared" si="2"/>
        <v/>
      </c>
    </row>
    <row r="35" spans="6:11" x14ac:dyDescent="0.3">
      <c r="F35" s="8" t="str">
        <f t="shared" ref="F35:F66" si="6">IF(ISNUMBER(A35),A35,"")</f>
        <v/>
      </c>
      <c r="K35" s="9" t="str">
        <f t="shared" ref="K35:K69" si="7">IF(ISNUMBER(F35),F35,"")</f>
        <v/>
      </c>
    </row>
    <row r="36" spans="6:11" x14ac:dyDescent="0.3">
      <c r="F36" s="8" t="str">
        <f t="shared" si="6"/>
        <v/>
      </c>
      <c r="K36" s="9" t="str">
        <f t="shared" si="7"/>
        <v/>
      </c>
    </row>
    <row r="37" spans="6:11" x14ac:dyDescent="0.3">
      <c r="F37" s="8" t="str">
        <f t="shared" si="6"/>
        <v/>
      </c>
      <c r="K37" s="9" t="str">
        <f t="shared" si="7"/>
        <v/>
      </c>
    </row>
    <row r="38" spans="6:11" x14ac:dyDescent="0.3">
      <c r="F38" s="8" t="str">
        <f t="shared" si="6"/>
        <v/>
      </c>
      <c r="K38" s="9" t="str">
        <f t="shared" si="7"/>
        <v/>
      </c>
    </row>
    <row r="39" spans="6:11" x14ac:dyDescent="0.3">
      <c r="F39" s="8" t="str">
        <f t="shared" si="6"/>
        <v/>
      </c>
      <c r="K39" s="9" t="str">
        <f t="shared" si="7"/>
        <v/>
      </c>
    </row>
    <row r="40" spans="6:11" x14ac:dyDescent="0.3">
      <c r="F40" s="8" t="str">
        <f t="shared" si="6"/>
        <v/>
      </c>
      <c r="K40" s="9" t="str">
        <f t="shared" si="7"/>
        <v/>
      </c>
    </row>
    <row r="41" spans="6:11" x14ac:dyDescent="0.3">
      <c r="F41" s="8" t="str">
        <f t="shared" si="6"/>
        <v/>
      </c>
      <c r="K41" s="9" t="str">
        <f t="shared" si="7"/>
        <v/>
      </c>
    </row>
    <row r="42" spans="6:11" x14ac:dyDescent="0.3">
      <c r="F42" s="8" t="str">
        <f t="shared" si="6"/>
        <v/>
      </c>
      <c r="K42" s="9" t="str">
        <f t="shared" si="7"/>
        <v/>
      </c>
    </row>
    <row r="43" spans="6:11" x14ac:dyDescent="0.3">
      <c r="F43" s="8" t="str">
        <f t="shared" si="6"/>
        <v/>
      </c>
      <c r="K43" s="9" t="str">
        <f t="shared" si="7"/>
        <v/>
      </c>
    </row>
    <row r="44" spans="6:11" x14ac:dyDescent="0.3">
      <c r="F44" s="8" t="str">
        <f t="shared" si="6"/>
        <v/>
      </c>
      <c r="K44" s="9" t="str">
        <f t="shared" si="7"/>
        <v/>
      </c>
    </row>
    <row r="45" spans="6:11" x14ac:dyDescent="0.3">
      <c r="F45" s="8" t="str">
        <f t="shared" si="6"/>
        <v/>
      </c>
      <c r="K45" s="9" t="str">
        <f t="shared" si="7"/>
        <v/>
      </c>
    </row>
    <row r="46" spans="6:11" x14ac:dyDescent="0.3">
      <c r="F46" s="8" t="str">
        <f t="shared" si="6"/>
        <v/>
      </c>
      <c r="K46" s="9" t="str">
        <f t="shared" si="7"/>
        <v/>
      </c>
    </row>
    <row r="47" spans="6:11" x14ac:dyDescent="0.3">
      <c r="F47" s="8" t="str">
        <f t="shared" si="6"/>
        <v/>
      </c>
      <c r="K47" s="9" t="str">
        <f t="shared" si="7"/>
        <v/>
      </c>
    </row>
    <row r="48" spans="6:11" x14ac:dyDescent="0.3">
      <c r="F48" s="8" t="str">
        <f t="shared" si="6"/>
        <v/>
      </c>
      <c r="K48" s="9" t="str">
        <f t="shared" si="7"/>
        <v/>
      </c>
    </row>
    <row r="49" spans="6:11" x14ac:dyDescent="0.3">
      <c r="F49" s="8" t="str">
        <f t="shared" si="6"/>
        <v/>
      </c>
      <c r="K49" s="9" t="str">
        <f t="shared" si="7"/>
        <v/>
      </c>
    </row>
    <row r="50" spans="6:11" x14ac:dyDescent="0.3">
      <c r="F50" s="8" t="str">
        <f t="shared" si="6"/>
        <v/>
      </c>
      <c r="K50" s="9" t="str">
        <f t="shared" si="7"/>
        <v/>
      </c>
    </row>
    <row r="51" spans="6:11" x14ac:dyDescent="0.3">
      <c r="F51" s="8" t="str">
        <f t="shared" si="6"/>
        <v/>
      </c>
      <c r="K51" s="9" t="str">
        <f t="shared" si="7"/>
        <v/>
      </c>
    </row>
    <row r="52" spans="6:11" x14ac:dyDescent="0.3">
      <c r="F52" s="8" t="str">
        <f t="shared" si="6"/>
        <v/>
      </c>
      <c r="K52" s="9" t="str">
        <f t="shared" si="7"/>
        <v/>
      </c>
    </row>
    <row r="53" spans="6:11" x14ac:dyDescent="0.3">
      <c r="F53" s="8" t="str">
        <f t="shared" si="6"/>
        <v/>
      </c>
      <c r="K53" s="9" t="str">
        <f t="shared" si="7"/>
        <v/>
      </c>
    </row>
    <row r="54" spans="6:11" x14ac:dyDescent="0.3">
      <c r="F54" s="8" t="str">
        <f t="shared" si="6"/>
        <v/>
      </c>
      <c r="K54" s="9" t="str">
        <f t="shared" si="7"/>
        <v/>
      </c>
    </row>
    <row r="55" spans="6:11" x14ac:dyDescent="0.3">
      <c r="F55" s="8" t="str">
        <f t="shared" si="6"/>
        <v/>
      </c>
      <c r="K55" s="9" t="str">
        <f t="shared" si="7"/>
        <v/>
      </c>
    </row>
    <row r="56" spans="6:11" x14ac:dyDescent="0.3">
      <c r="F56" s="8" t="str">
        <f t="shared" si="6"/>
        <v/>
      </c>
      <c r="K56" s="9" t="str">
        <f t="shared" si="7"/>
        <v/>
      </c>
    </row>
    <row r="57" spans="6:11" x14ac:dyDescent="0.3">
      <c r="F57" s="8" t="str">
        <f t="shared" si="6"/>
        <v/>
      </c>
      <c r="K57" s="9" t="str">
        <f t="shared" si="7"/>
        <v/>
      </c>
    </row>
    <row r="58" spans="6:11" x14ac:dyDescent="0.3">
      <c r="F58" s="8" t="str">
        <f t="shared" si="6"/>
        <v/>
      </c>
      <c r="K58" s="9" t="str">
        <f t="shared" si="7"/>
        <v/>
      </c>
    </row>
    <row r="59" spans="6:11" x14ac:dyDescent="0.3">
      <c r="F59" s="8" t="str">
        <f t="shared" si="6"/>
        <v/>
      </c>
      <c r="K59" s="9" t="str">
        <f t="shared" si="7"/>
        <v/>
      </c>
    </row>
    <row r="60" spans="6:11" x14ac:dyDescent="0.3">
      <c r="F60" s="8" t="str">
        <f t="shared" si="6"/>
        <v/>
      </c>
      <c r="K60" s="9" t="str">
        <f t="shared" si="7"/>
        <v/>
      </c>
    </row>
    <row r="61" spans="6:11" x14ac:dyDescent="0.3">
      <c r="F61" s="8" t="str">
        <f t="shared" si="6"/>
        <v/>
      </c>
      <c r="K61" s="9" t="str">
        <f t="shared" si="7"/>
        <v/>
      </c>
    </row>
    <row r="62" spans="6:11" x14ac:dyDescent="0.3">
      <c r="F62" s="8" t="str">
        <f t="shared" si="6"/>
        <v/>
      </c>
      <c r="K62" s="9" t="str">
        <f t="shared" si="7"/>
        <v/>
      </c>
    </row>
    <row r="63" spans="6:11" x14ac:dyDescent="0.3">
      <c r="F63" s="8" t="str">
        <f t="shared" si="6"/>
        <v/>
      </c>
      <c r="K63" s="9" t="str">
        <f t="shared" si="7"/>
        <v/>
      </c>
    </row>
    <row r="64" spans="6:11" x14ac:dyDescent="0.3">
      <c r="F64" s="8" t="str">
        <f t="shared" si="6"/>
        <v/>
      </c>
      <c r="K64" s="9" t="str">
        <f t="shared" si="7"/>
        <v/>
      </c>
    </row>
    <row r="65" spans="6:11" x14ac:dyDescent="0.3">
      <c r="F65" s="8" t="str">
        <f t="shared" si="6"/>
        <v/>
      </c>
      <c r="K65" s="9" t="str">
        <f t="shared" si="7"/>
        <v/>
      </c>
    </row>
    <row r="66" spans="6:11" x14ac:dyDescent="0.3">
      <c r="F66" s="8" t="str">
        <f t="shared" si="6"/>
        <v/>
      </c>
      <c r="K66" s="9" t="str">
        <f t="shared" si="7"/>
        <v/>
      </c>
    </row>
    <row r="67" spans="6:11" x14ac:dyDescent="0.3">
      <c r="F67" s="8" t="str">
        <f t="shared" ref="F67:F78" si="8">IF(ISNUMBER(A67),A67,"")</f>
        <v/>
      </c>
      <c r="K67" s="9" t="str">
        <f t="shared" si="7"/>
        <v/>
      </c>
    </row>
    <row r="68" spans="6:11" x14ac:dyDescent="0.3">
      <c r="F68" s="8" t="str">
        <f t="shared" si="8"/>
        <v/>
      </c>
      <c r="K68" s="9" t="str">
        <f t="shared" si="7"/>
        <v/>
      </c>
    </row>
    <row r="69" spans="6:11" x14ac:dyDescent="0.3">
      <c r="F69" s="8" t="str">
        <f t="shared" si="8"/>
        <v/>
      </c>
      <c r="K69" s="9" t="str">
        <f t="shared" si="7"/>
        <v/>
      </c>
    </row>
    <row r="70" spans="6:11" x14ac:dyDescent="0.3">
      <c r="F70" s="8" t="str">
        <f t="shared" si="8"/>
        <v/>
      </c>
      <c r="K70" s="9" t="str">
        <f t="shared" ref="K70:K78" si="9">IF(ISNUMBER(F70),F70,"")</f>
        <v/>
      </c>
    </row>
    <row r="71" spans="6:11" x14ac:dyDescent="0.3">
      <c r="F71" s="8" t="str">
        <f t="shared" si="8"/>
        <v/>
      </c>
      <c r="K71" s="9" t="str">
        <f t="shared" si="9"/>
        <v/>
      </c>
    </row>
    <row r="72" spans="6:11" x14ac:dyDescent="0.3">
      <c r="F72" s="8" t="str">
        <f t="shared" si="8"/>
        <v/>
      </c>
      <c r="K72" s="9" t="str">
        <f t="shared" si="9"/>
        <v/>
      </c>
    </row>
    <row r="73" spans="6:11" x14ac:dyDescent="0.3">
      <c r="F73" s="8" t="str">
        <f t="shared" si="8"/>
        <v/>
      </c>
      <c r="K73" s="9" t="str">
        <f t="shared" si="9"/>
        <v/>
      </c>
    </row>
    <row r="74" spans="6:11" x14ac:dyDescent="0.3">
      <c r="F74" s="8" t="str">
        <f t="shared" si="8"/>
        <v/>
      </c>
      <c r="K74" s="9" t="str">
        <f t="shared" si="9"/>
        <v/>
      </c>
    </row>
    <row r="75" spans="6:11" x14ac:dyDescent="0.3">
      <c r="F75" s="8" t="str">
        <f t="shared" si="8"/>
        <v/>
      </c>
      <c r="K75" s="9" t="str">
        <f t="shared" si="9"/>
        <v/>
      </c>
    </row>
    <row r="76" spans="6:11" x14ac:dyDescent="0.3">
      <c r="F76" s="8" t="str">
        <f t="shared" si="8"/>
        <v/>
      </c>
      <c r="K76" s="9" t="str">
        <f t="shared" si="9"/>
        <v/>
      </c>
    </row>
    <row r="77" spans="6:11" x14ac:dyDescent="0.3">
      <c r="F77" s="8" t="str">
        <f t="shared" si="8"/>
        <v/>
      </c>
      <c r="K77" s="9" t="str">
        <f t="shared" si="9"/>
        <v/>
      </c>
    </row>
    <row r="78" spans="6:11" x14ac:dyDescent="0.3">
      <c r="F78" s="8" t="str">
        <f t="shared" si="8"/>
        <v/>
      </c>
      <c r="K78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0"/>
  <sheetViews>
    <sheetView workbookViewId="0">
      <selection activeCell="A2" sqref="A2:XFD2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9.1796875" style="4" customWidth="1"/>
    <col min="7" max="7" width="9.1796875" style="11" customWidth="1"/>
    <col min="8" max="10" width="9.1796875" style="4" customWidth="1"/>
    <col min="11" max="11" width="9.1796875" style="6" customWidth="1"/>
    <col min="12" max="12" width="9.1796875" style="12" customWidth="1"/>
    <col min="13" max="15" width="9.1796875" style="6" customWidth="1"/>
  </cols>
  <sheetData>
    <row r="1" spans="1:16" x14ac:dyDescent="0.3">
      <c r="A1" s="1" t="s">
        <v>19</v>
      </c>
      <c r="F1" s="3" t="s">
        <v>20</v>
      </c>
      <c r="K1" s="5" t="s">
        <v>21</v>
      </c>
    </row>
    <row r="2" spans="1:16" s="80" customFormat="1" ht="34.5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16" x14ac:dyDescent="0.3">
      <c r="A3" s="7">
        <v>31959</v>
      </c>
      <c r="B3" s="10" t="s">
        <v>22</v>
      </c>
      <c r="C3" s="20">
        <v>3</v>
      </c>
      <c r="D3" s="2">
        <v>55.03</v>
      </c>
      <c r="E3" s="16">
        <f>D3+C3</f>
        <v>58.03</v>
      </c>
      <c r="F3" s="8">
        <f t="shared" ref="F3:F34" si="0">IF(ISNUMBER(A3),A3,"")</f>
        <v>31959</v>
      </c>
      <c r="G3" s="11" t="s">
        <v>51</v>
      </c>
      <c r="H3" s="22">
        <v>0.9</v>
      </c>
      <c r="I3" s="4">
        <f>25.05+35.91</f>
        <v>60.959999999999994</v>
      </c>
      <c r="J3" s="17">
        <f t="shared" ref="J3:J27" si="1">I3+H3</f>
        <v>61.859999999999992</v>
      </c>
      <c r="K3" s="9">
        <f t="shared" ref="K3:K34" si="2">IF(ISNUMBER(F3),F3,"")</f>
        <v>31959</v>
      </c>
      <c r="L3" s="12" t="s">
        <v>25</v>
      </c>
      <c r="M3" s="23">
        <v>6.4</v>
      </c>
      <c r="N3" s="6">
        <v>59</v>
      </c>
      <c r="O3" s="18">
        <f t="shared" ref="O3:O9" si="3">N3+M3</f>
        <v>65.400000000000006</v>
      </c>
    </row>
    <row r="4" spans="1:16" x14ac:dyDescent="0.3">
      <c r="A4" s="7">
        <v>33012</v>
      </c>
      <c r="B4" s="10" t="s">
        <v>22</v>
      </c>
      <c r="C4" s="20">
        <v>2.5</v>
      </c>
      <c r="D4" s="2">
        <v>55.03</v>
      </c>
      <c r="E4" s="16">
        <f>D4+C4</f>
        <v>57.53</v>
      </c>
      <c r="F4" s="8">
        <f t="shared" si="0"/>
        <v>33012</v>
      </c>
      <c r="G4" s="11" t="s">
        <v>52</v>
      </c>
      <c r="H4" s="22">
        <v>0.73</v>
      </c>
      <c r="I4" s="4">
        <f>25.05+31.25</f>
        <v>56.3</v>
      </c>
      <c r="J4" s="17">
        <f t="shared" si="1"/>
        <v>57.029999999999994</v>
      </c>
      <c r="K4" s="9">
        <f t="shared" si="2"/>
        <v>33012</v>
      </c>
      <c r="L4" s="12" t="s">
        <v>25</v>
      </c>
      <c r="M4" s="23">
        <v>0.11</v>
      </c>
      <c r="N4" s="6">
        <v>59</v>
      </c>
      <c r="O4" s="18">
        <f t="shared" si="3"/>
        <v>59.11</v>
      </c>
    </row>
    <row r="5" spans="1:16" x14ac:dyDescent="0.3">
      <c r="A5" s="7">
        <v>34114</v>
      </c>
      <c r="B5" s="10" t="s">
        <v>50</v>
      </c>
      <c r="C5" s="20">
        <v>10.8</v>
      </c>
      <c r="D5" s="2">
        <v>40.090000000000003</v>
      </c>
      <c r="E5" s="16">
        <f>D5+C5</f>
        <v>50.89</v>
      </c>
      <c r="F5" s="8">
        <f t="shared" si="0"/>
        <v>34114</v>
      </c>
      <c r="G5" s="11" t="s">
        <v>53</v>
      </c>
      <c r="H5" s="22">
        <v>13.18</v>
      </c>
      <c r="I5" s="4">
        <f>24.5+8.41</f>
        <v>32.909999999999997</v>
      </c>
      <c r="J5" s="17">
        <f t="shared" si="1"/>
        <v>46.089999999999996</v>
      </c>
      <c r="K5" s="9">
        <f t="shared" si="2"/>
        <v>34114</v>
      </c>
      <c r="L5" s="12">
        <v>3</v>
      </c>
      <c r="M5" s="23">
        <v>49.74</v>
      </c>
      <c r="N5" s="6">
        <v>0</v>
      </c>
      <c r="O5" s="18">
        <f t="shared" si="3"/>
        <v>49.74</v>
      </c>
    </row>
    <row r="6" spans="1:16" x14ac:dyDescent="0.3">
      <c r="A6" s="7">
        <v>34897</v>
      </c>
      <c r="C6" s="20"/>
      <c r="E6" s="16"/>
      <c r="F6" s="8">
        <f t="shared" si="0"/>
        <v>34897</v>
      </c>
      <c r="G6" s="11" t="s">
        <v>54</v>
      </c>
      <c r="H6" s="22">
        <v>17.989999999999998</v>
      </c>
      <c r="I6" s="4">
        <v>25.05</v>
      </c>
      <c r="J6" s="17">
        <f t="shared" si="1"/>
        <v>43.04</v>
      </c>
      <c r="K6" s="9">
        <f t="shared" si="2"/>
        <v>34897</v>
      </c>
      <c r="L6" s="12">
        <v>30</v>
      </c>
      <c r="M6" s="23">
        <v>94.52</v>
      </c>
      <c r="N6" s="6">
        <v>-46.28</v>
      </c>
      <c r="O6" s="18">
        <f t="shared" si="3"/>
        <v>48.239999999999995</v>
      </c>
    </row>
    <row r="7" spans="1:16" x14ac:dyDescent="0.3">
      <c r="A7" s="7">
        <v>35656</v>
      </c>
      <c r="B7" s="10">
        <v>1</v>
      </c>
      <c r="C7" s="20">
        <v>50.83</v>
      </c>
      <c r="D7" s="2">
        <v>0</v>
      </c>
      <c r="E7" s="16">
        <f t="shared" ref="E7:E16" si="4">D7+C7</f>
        <v>50.83</v>
      </c>
      <c r="F7" s="8">
        <f t="shared" si="0"/>
        <v>35656</v>
      </c>
      <c r="G7" s="11">
        <v>2</v>
      </c>
      <c r="H7" s="22">
        <v>39</v>
      </c>
      <c r="I7" s="4">
        <v>0</v>
      </c>
      <c r="J7" s="17">
        <f t="shared" si="1"/>
        <v>39</v>
      </c>
      <c r="K7" s="9">
        <f t="shared" si="2"/>
        <v>35656</v>
      </c>
      <c r="L7" s="12">
        <v>3</v>
      </c>
      <c r="M7" s="23">
        <v>42.7</v>
      </c>
      <c r="N7" s="6">
        <v>0</v>
      </c>
      <c r="O7" s="18">
        <f t="shared" si="3"/>
        <v>42.7</v>
      </c>
    </row>
    <row r="8" spans="1:16" x14ac:dyDescent="0.3">
      <c r="A8" s="7">
        <v>36350</v>
      </c>
      <c r="B8" s="10">
        <v>1</v>
      </c>
      <c r="C8" s="20">
        <v>50.43</v>
      </c>
      <c r="D8" s="2">
        <v>0</v>
      </c>
      <c r="E8" s="16">
        <f t="shared" si="4"/>
        <v>50.43</v>
      </c>
      <c r="F8" s="8">
        <f t="shared" si="0"/>
        <v>36350</v>
      </c>
      <c r="G8" s="11" t="s">
        <v>55</v>
      </c>
      <c r="H8" s="22">
        <v>11.83</v>
      </c>
      <c r="I8" s="4">
        <v>24.5</v>
      </c>
      <c r="J8" s="17">
        <f t="shared" si="1"/>
        <v>36.33</v>
      </c>
      <c r="K8" s="9">
        <f t="shared" si="2"/>
        <v>36350</v>
      </c>
      <c r="L8" s="12">
        <v>30</v>
      </c>
      <c r="M8" s="23">
        <v>86.47</v>
      </c>
      <c r="N8" s="6">
        <v>-46.28</v>
      </c>
      <c r="O8" s="18">
        <f t="shared" si="3"/>
        <v>40.19</v>
      </c>
    </row>
    <row r="9" spans="1:16" x14ac:dyDescent="0.3">
      <c r="A9" s="7">
        <v>36713</v>
      </c>
      <c r="B9" s="10">
        <v>1</v>
      </c>
      <c r="C9" s="20">
        <v>47.64</v>
      </c>
      <c r="D9" s="2">
        <v>0</v>
      </c>
      <c r="E9" s="16">
        <f t="shared" si="4"/>
        <v>47.64</v>
      </c>
      <c r="F9" s="8">
        <f t="shared" si="0"/>
        <v>36713</v>
      </c>
      <c r="G9" s="11" t="s">
        <v>54</v>
      </c>
      <c r="H9" s="22">
        <v>6.02</v>
      </c>
      <c r="I9" s="4">
        <v>25.05</v>
      </c>
      <c r="J9" s="17">
        <f t="shared" si="1"/>
        <v>31.07</v>
      </c>
      <c r="K9" s="9">
        <f t="shared" si="2"/>
        <v>36713</v>
      </c>
      <c r="L9" s="12">
        <v>30</v>
      </c>
      <c r="M9" s="23">
        <v>81.260000000000005</v>
      </c>
      <c r="N9" s="6">
        <v>-46.28</v>
      </c>
      <c r="O9" s="18">
        <f t="shared" si="3"/>
        <v>34.980000000000004</v>
      </c>
    </row>
    <row r="10" spans="1:16" x14ac:dyDescent="0.3">
      <c r="A10" s="7">
        <v>37078</v>
      </c>
      <c r="B10" s="10">
        <v>1</v>
      </c>
      <c r="C10" s="20">
        <v>47.01</v>
      </c>
      <c r="D10" s="2">
        <v>0</v>
      </c>
      <c r="E10" s="16">
        <f t="shared" si="4"/>
        <v>47.01</v>
      </c>
      <c r="F10" s="8">
        <f t="shared" si="0"/>
        <v>37078</v>
      </c>
      <c r="G10" s="30" t="s">
        <v>54</v>
      </c>
      <c r="H10" s="22">
        <v>2.98</v>
      </c>
      <c r="I10" s="4">
        <v>25.05</v>
      </c>
      <c r="J10" s="17">
        <f t="shared" si="1"/>
        <v>28.03</v>
      </c>
      <c r="K10" s="9">
        <f t="shared" si="2"/>
        <v>37078</v>
      </c>
      <c r="L10" s="31" t="s">
        <v>90</v>
      </c>
      <c r="M10" s="23">
        <v>0.3</v>
      </c>
      <c r="O10" s="18"/>
      <c r="P10" s="29" t="s">
        <v>91</v>
      </c>
    </row>
    <row r="11" spans="1:16" x14ac:dyDescent="0.3">
      <c r="A11" s="7">
        <v>37818</v>
      </c>
      <c r="B11" s="10">
        <v>1</v>
      </c>
      <c r="C11" s="20">
        <v>47</v>
      </c>
      <c r="D11" s="2">
        <v>0</v>
      </c>
      <c r="E11" s="16">
        <f t="shared" si="4"/>
        <v>47</v>
      </c>
      <c r="F11" s="8">
        <f t="shared" si="0"/>
        <v>37818</v>
      </c>
      <c r="G11" s="11" t="s">
        <v>54</v>
      </c>
      <c r="H11" s="22">
        <v>0.1</v>
      </c>
      <c r="I11" s="4">
        <v>25.05</v>
      </c>
      <c r="J11" s="17">
        <f t="shared" si="1"/>
        <v>25.150000000000002</v>
      </c>
      <c r="K11" s="9">
        <f t="shared" si="2"/>
        <v>37818</v>
      </c>
      <c r="L11" s="12">
        <v>3</v>
      </c>
      <c r="M11" s="23">
        <v>29.2</v>
      </c>
      <c r="N11" s="6">
        <v>0</v>
      </c>
      <c r="O11" s="18">
        <f t="shared" ref="O11:O27" si="5">N11+M11</f>
        <v>29.2</v>
      </c>
    </row>
    <row r="12" spans="1:16" x14ac:dyDescent="0.3">
      <c r="A12" s="7">
        <v>38187</v>
      </c>
      <c r="B12" s="10">
        <v>1</v>
      </c>
      <c r="C12" s="20">
        <v>47</v>
      </c>
      <c r="D12" s="2">
        <v>0</v>
      </c>
      <c r="E12" s="16">
        <f t="shared" si="4"/>
        <v>47</v>
      </c>
      <c r="F12" s="8">
        <f t="shared" si="0"/>
        <v>38187</v>
      </c>
      <c r="G12" s="11">
        <v>2</v>
      </c>
      <c r="H12" s="22">
        <v>23.8</v>
      </c>
      <c r="I12" s="4">
        <v>0</v>
      </c>
      <c r="J12" s="17">
        <f t="shared" si="1"/>
        <v>23.8</v>
      </c>
      <c r="K12" s="9">
        <f t="shared" si="2"/>
        <v>38187</v>
      </c>
      <c r="L12" s="12">
        <v>3</v>
      </c>
      <c r="M12" s="23">
        <v>26.95</v>
      </c>
      <c r="N12" s="6">
        <v>0</v>
      </c>
      <c r="O12" s="18">
        <f t="shared" si="5"/>
        <v>26.95</v>
      </c>
    </row>
    <row r="13" spans="1:16" x14ac:dyDescent="0.3">
      <c r="A13" s="7">
        <v>38917</v>
      </c>
      <c r="B13" s="10">
        <v>1</v>
      </c>
      <c r="C13" s="20">
        <v>47.01</v>
      </c>
      <c r="D13" s="2">
        <v>0</v>
      </c>
      <c r="E13" s="16">
        <f t="shared" si="4"/>
        <v>47.01</v>
      </c>
      <c r="F13" s="8">
        <f t="shared" si="0"/>
        <v>38917</v>
      </c>
      <c r="G13" s="11">
        <v>2</v>
      </c>
      <c r="H13" s="22">
        <v>21.61</v>
      </c>
      <c r="I13" s="4">
        <v>0</v>
      </c>
      <c r="J13" s="17">
        <f t="shared" si="1"/>
        <v>21.61</v>
      </c>
      <c r="K13" s="9">
        <f t="shared" si="2"/>
        <v>38917</v>
      </c>
      <c r="L13" s="27" t="s">
        <v>76</v>
      </c>
      <c r="M13" s="23">
        <v>27.06</v>
      </c>
      <c r="N13" s="6">
        <v>0</v>
      </c>
      <c r="O13" s="18">
        <f t="shared" si="5"/>
        <v>27.06</v>
      </c>
      <c r="P13" s="24" t="s">
        <v>77</v>
      </c>
    </row>
    <row r="14" spans="1:16" x14ac:dyDescent="0.3">
      <c r="A14" s="7">
        <v>38986</v>
      </c>
      <c r="B14" s="10">
        <v>1</v>
      </c>
      <c r="C14" s="20">
        <v>47</v>
      </c>
      <c r="D14" s="2">
        <v>0</v>
      </c>
      <c r="E14" s="16">
        <f t="shared" si="4"/>
        <v>47</v>
      </c>
      <c r="F14" s="8">
        <f t="shared" si="0"/>
        <v>38986</v>
      </c>
      <c r="G14" s="11">
        <v>2</v>
      </c>
      <c r="H14" s="22">
        <v>20.51</v>
      </c>
      <c r="I14" s="4">
        <v>0</v>
      </c>
      <c r="J14" s="17">
        <f t="shared" si="1"/>
        <v>20.51</v>
      </c>
      <c r="K14" s="9">
        <f t="shared" si="2"/>
        <v>38986</v>
      </c>
      <c r="L14" s="12">
        <v>3</v>
      </c>
      <c r="M14" s="23">
        <v>22.6</v>
      </c>
      <c r="N14" s="6">
        <v>0</v>
      </c>
      <c r="O14" s="18">
        <f t="shared" si="5"/>
        <v>22.6</v>
      </c>
    </row>
    <row r="15" spans="1:16" x14ac:dyDescent="0.3">
      <c r="A15" s="7">
        <v>39774</v>
      </c>
      <c r="B15" s="10">
        <v>1</v>
      </c>
      <c r="C15" s="20">
        <v>46.7</v>
      </c>
      <c r="D15" s="2">
        <v>0</v>
      </c>
      <c r="E15" s="16">
        <f t="shared" si="4"/>
        <v>46.7</v>
      </c>
      <c r="F15" s="8">
        <f t="shared" si="0"/>
        <v>39774</v>
      </c>
      <c r="G15" s="11">
        <v>2</v>
      </c>
      <c r="H15" s="22">
        <v>19.899999999999999</v>
      </c>
      <c r="I15" s="4">
        <v>0</v>
      </c>
      <c r="J15" s="17">
        <f t="shared" si="1"/>
        <v>19.899999999999999</v>
      </c>
      <c r="K15" s="9">
        <f t="shared" si="2"/>
        <v>39774</v>
      </c>
      <c r="L15" s="12">
        <v>3</v>
      </c>
      <c r="M15" s="23">
        <v>22.61</v>
      </c>
      <c r="N15" s="6">
        <v>0</v>
      </c>
      <c r="O15" s="18">
        <f t="shared" si="5"/>
        <v>22.61</v>
      </c>
    </row>
    <row r="16" spans="1:16" x14ac:dyDescent="0.3">
      <c r="A16" s="7">
        <v>40009</v>
      </c>
      <c r="B16" s="26" t="s">
        <v>75</v>
      </c>
      <c r="C16" s="20">
        <v>46.7</v>
      </c>
      <c r="D16" s="2">
        <v>0</v>
      </c>
      <c r="E16" s="16">
        <f t="shared" si="4"/>
        <v>46.7</v>
      </c>
      <c r="F16" s="8">
        <f t="shared" si="0"/>
        <v>40009</v>
      </c>
      <c r="G16" s="11">
        <v>2</v>
      </c>
      <c r="H16" s="22">
        <v>19.62</v>
      </c>
      <c r="I16" s="4">
        <v>0</v>
      </c>
      <c r="J16" s="17">
        <f t="shared" si="1"/>
        <v>19.62</v>
      </c>
      <c r="K16" s="9">
        <f t="shared" si="2"/>
        <v>40009</v>
      </c>
      <c r="L16" s="12">
        <v>3</v>
      </c>
      <c r="M16" s="23">
        <v>22.41</v>
      </c>
      <c r="N16" s="6">
        <v>0</v>
      </c>
      <c r="O16" s="18">
        <f t="shared" si="5"/>
        <v>22.41</v>
      </c>
      <c r="P16" s="24" t="s">
        <v>82</v>
      </c>
    </row>
    <row r="17" spans="1:16" x14ac:dyDescent="0.3">
      <c r="A17" s="7">
        <v>40379</v>
      </c>
      <c r="F17" s="8">
        <f t="shared" si="0"/>
        <v>40379</v>
      </c>
      <c r="G17" s="11">
        <v>2</v>
      </c>
      <c r="H17" s="22">
        <v>19.73</v>
      </c>
      <c r="I17" s="4">
        <v>0</v>
      </c>
      <c r="J17" s="32">
        <f t="shared" si="1"/>
        <v>19.73</v>
      </c>
      <c r="K17" s="9">
        <f t="shared" si="2"/>
        <v>40379</v>
      </c>
      <c r="L17" s="12">
        <v>3</v>
      </c>
      <c r="M17" s="6">
        <v>22.52</v>
      </c>
      <c r="N17" s="6">
        <v>0</v>
      </c>
      <c r="O17" s="33">
        <f t="shared" si="5"/>
        <v>22.52</v>
      </c>
      <c r="P17" s="29" t="s">
        <v>102</v>
      </c>
    </row>
    <row r="18" spans="1:16" x14ac:dyDescent="0.3">
      <c r="A18" s="7">
        <v>40737</v>
      </c>
      <c r="B18" s="10">
        <v>1</v>
      </c>
      <c r="C18" s="60">
        <v>48.37</v>
      </c>
      <c r="D18" s="2">
        <v>0</v>
      </c>
      <c r="E18" s="57">
        <v>48.37</v>
      </c>
      <c r="F18" s="8">
        <f t="shared" si="0"/>
        <v>40737</v>
      </c>
      <c r="G18" s="11">
        <v>2</v>
      </c>
      <c r="H18" s="22">
        <v>19.600000000000001</v>
      </c>
      <c r="I18" s="4">
        <v>0</v>
      </c>
      <c r="J18" s="50">
        <f t="shared" si="1"/>
        <v>19.600000000000001</v>
      </c>
      <c r="K18" s="9">
        <f t="shared" si="2"/>
        <v>40737</v>
      </c>
      <c r="L18" s="12">
        <v>3</v>
      </c>
      <c r="M18" s="6">
        <v>21.99</v>
      </c>
      <c r="N18" s="6">
        <v>0</v>
      </c>
      <c r="O18" s="33">
        <f t="shared" si="5"/>
        <v>21.99</v>
      </c>
      <c r="P18" s="35" t="s">
        <v>108</v>
      </c>
    </row>
    <row r="19" spans="1:16" x14ac:dyDescent="0.3">
      <c r="A19" s="7">
        <v>41199</v>
      </c>
      <c r="B19" s="10">
        <v>1</v>
      </c>
      <c r="C19" s="56">
        <v>32.299999999999997</v>
      </c>
      <c r="D19" s="2">
        <v>0</v>
      </c>
      <c r="E19" s="55">
        <f>D19+C19</f>
        <v>32.299999999999997</v>
      </c>
      <c r="F19" s="8">
        <f t="shared" si="0"/>
        <v>41199</v>
      </c>
      <c r="G19" s="11">
        <v>2</v>
      </c>
      <c r="H19" s="22">
        <v>19.52</v>
      </c>
      <c r="I19" s="4">
        <v>0</v>
      </c>
      <c r="J19" s="32">
        <f t="shared" si="1"/>
        <v>19.52</v>
      </c>
      <c r="K19" s="9">
        <f t="shared" si="2"/>
        <v>41199</v>
      </c>
      <c r="L19" s="12">
        <v>3</v>
      </c>
      <c r="M19" s="6">
        <v>21.77</v>
      </c>
      <c r="N19" s="6">
        <v>0</v>
      </c>
      <c r="O19" s="33">
        <f t="shared" si="5"/>
        <v>21.77</v>
      </c>
      <c r="P19" s="29" t="s">
        <v>119</v>
      </c>
    </row>
    <row r="20" spans="1:16" x14ac:dyDescent="0.3">
      <c r="A20" s="7">
        <v>41459</v>
      </c>
      <c r="B20" s="10">
        <v>1</v>
      </c>
      <c r="C20" s="58">
        <v>46.67</v>
      </c>
      <c r="D20" s="2">
        <v>0</v>
      </c>
      <c r="E20" s="59">
        <f>D20+C20</f>
        <v>46.67</v>
      </c>
      <c r="F20" s="8">
        <f t="shared" si="0"/>
        <v>41459</v>
      </c>
      <c r="G20" s="11">
        <v>2</v>
      </c>
      <c r="H20" s="22">
        <v>19.37</v>
      </c>
      <c r="I20" s="4">
        <v>0</v>
      </c>
      <c r="J20" s="32">
        <f t="shared" si="1"/>
        <v>19.37</v>
      </c>
      <c r="K20" s="9">
        <f t="shared" si="2"/>
        <v>41459</v>
      </c>
      <c r="L20" s="12">
        <v>3</v>
      </c>
      <c r="M20" s="6">
        <v>21.59</v>
      </c>
      <c r="N20" s="6">
        <v>0</v>
      </c>
      <c r="O20" s="33">
        <f t="shared" si="5"/>
        <v>21.59</v>
      </c>
    </row>
    <row r="21" spans="1:16" x14ac:dyDescent="0.3">
      <c r="A21" s="7">
        <v>41828</v>
      </c>
      <c r="B21" s="10">
        <v>1</v>
      </c>
      <c r="C21" s="2">
        <v>47.16</v>
      </c>
      <c r="D21" s="2">
        <v>0</v>
      </c>
      <c r="E21" s="59">
        <f>D21+C21</f>
        <v>47.16</v>
      </c>
      <c r="F21" s="8">
        <f t="shared" si="0"/>
        <v>41828</v>
      </c>
      <c r="G21" s="11">
        <v>2</v>
      </c>
      <c r="H21" s="22">
        <v>19.5</v>
      </c>
      <c r="I21" s="4">
        <v>0</v>
      </c>
      <c r="J21" s="50">
        <f t="shared" si="1"/>
        <v>19.5</v>
      </c>
      <c r="K21" s="9">
        <f t="shared" si="2"/>
        <v>41828</v>
      </c>
      <c r="L21" s="12">
        <v>3</v>
      </c>
      <c r="M21" s="6">
        <v>21.56</v>
      </c>
      <c r="N21" s="6">
        <v>0</v>
      </c>
      <c r="O21" s="33">
        <f t="shared" si="5"/>
        <v>21.56</v>
      </c>
      <c r="P21" s="29" t="s">
        <v>126</v>
      </c>
    </row>
    <row r="22" spans="1:16" x14ac:dyDescent="0.3">
      <c r="A22" s="7">
        <v>42198</v>
      </c>
      <c r="B22" s="10">
        <v>1</v>
      </c>
      <c r="C22" s="2">
        <v>47.09</v>
      </c>
      <c r="D22" s="2">
        <v>0</v>
      </c>
      <c r="E22" s="59">
        <f>D22+C22</f>
        <v>47.09</v>
      </c>
      <c r="F22" s="8">
        <f t="shared" si="0"/>
        <v>42198</v>
      </c>
      <c r="G22" s="11">
        <v>2</v>
      </c>
      <c r="H22" s="22">
        <v>19.38</v>
      </c>
      <c r="I22" s="4">
        <v>0</v>
      </c>
      <c r="J22" s="50">
        <f t="shared" si="1"/>
        <v>19.38</v>
      </c>
      <c r="K22" s="9">
        <f t="shared" si="2"/>
        <v>42198</v>
      </c>
      <c r="L22" s="12">
        <v>3</v>
      </c>
      <c r="M22" s="6">
        <v>21.52</v>
      </c>
      <c r="N22" s="6">
        <v>0</v>
      </c>
      <c r="O22" s="33">
        <f t="shared" si="5"/>
        <v>21.52</v>
      </c>
      <c r="P22" s="29" t="s">
        <v>126</v>
      </c>
    </row>
    <row r="23" spans="1:16" x14ac:dyDescent="0.3">
      <c r="A23" s="7">
        <v>42628</v>
      </c>
      <c r="B23" s="10" t="s">
        <v>97</v>
      </c>
      <c r="E23" s="59"/>
      <c r="F23" s="8">
        <f t="shared" si="0"/>
        <v>42628</v>
      </c>
      <c r="G23" s="11">
        <v>2</v>
      </c>
      <c r="H23" s="22">
        <v>19.399999999999999</v>
      </c>
      <c r="I23" s="4">
        <v>0</v>
      </c>
      <c r="J23" s="74">
        <f t="shared" si="1"/>
        <v>19.399999999999999</v>
      </c>
      <c r="K23" s="9">
        <f t="shared" si="2"/>
        <v>42628</v>
      </c>
      <c r="L23" s="12">
        <v>3</v>
      </c>
      <c r="M23" s="6">
        <v>21.32</v>
      </c>
      <c r="N23" s="6">
        <v>0</v>
      </c>
      <c r="O23" s="33">
        <f t="shared" si="5"/>
        <v>21.32</v>
      </c>
      <c r="P23" s="29" t="s">
        <v>138</v>
      </c>
    </row>
    <row r="24" spans="1:16" x14ac:dyDescent="0.3">
      <c r="A24" s="7">
        <v>43748</v>
      </c>
      <c r="B24" s="10">
        <v>1</v>
      </c>
      <c r="C24" s="2">
        <v>47.11</v>
      </c>
      <c r="D24" s="2">
        <v>0</v>
      </c>
      <c r="E24" s="59">
        <f>D24+C24</f>
        <v>47.11</v>
      </c>
      <c r="F24" s="8">
        <f t="shared" si="0"/>
        <v>43748</v>
      </c>
      <c r="G24" s="11">
        <v>2</v>
      </c>
      <c r="H24" s="22">
        <v>19.45</v>
      </c>
      <c r="I24" s="4">
        <v>0</v>
      </c>
      <c r="J24" s="74">
        <f t="shared" si="1"/>
        <v>19.45</v>
      </c>
      <c r="K24" s="9">
        <f t="shared" si="2"/>
        <v>43748</v>
      </c>
      <c r="L24" s="12">
        <v>3</v>
      </c>
      <c r="M24" s="6">
        <v>21.39</v>
      </c>
      <c r="N24" s="6">
        <v>0</v>
      </c>
      <c r="O24" s="33">
        <f t="shared" si="5"/>
        <v>21.39</v>
      </c>
    </row>
    <row r="25" spans="1:16" x14ac:dyDescent="0.3">
      <c r="A25" s="7">
        <v>44060</v>
      </c>
      <c r="B25" s="10" t="s">
        <v>97</v>
      </c>
      <c r="F25" s="8">
        <f t="shared" si="0"/>
        <v>44060</v>
      </c>
      <c r="G25" s="11">
        <v>2</v>
      </c>
      <c r="H25" s="22">
        <v>19.38</v>
      </c>
      <c r="I25" s="4">
        <v>0</v>
      </c>
      <c r="J25" s="74">
        <f t="shared" si="1"/>
        <v>19.38</v>
      </c>
      <c r="K25" s="9">
        <f t="shared" si="2"/>
        <v>44060</v>
      </c>
      <c r="L25" s="12">
        <v>3</v>
      </c>
      <c r="M25" s="6">
        <v>21.26</v>
      </c>
      <c r="N25" s="6">
        <v>0</v>
      </c>
      <c r="O25" s="33">
        <f t="shared" si="5"/>
        <v>21.26</v>
      </c>
      <c r="P25" s="29" t="s">
        <v>138</v>
      </c>
    </row>
    <row r="26" spans="1:16" x14ac:dyDescent="0.3">
      <c r="A26" s="7">
        <v>44777</v>
      </c>
      <c r="B26" s="28" t="s">
        <v>97</v>
      </c>
      <c r="F26" s="8">
        <f t="shared" si="0"/>
        <v>44777</v>
      </c>
      <c r="G26" s="11">
        <v>2</v>
      </c>
      <c r="H26" s="22">
        <v>19.079999999999998</v>
      </c>
      <c r="I26" s="4">
        <v>0</v>
      </c>
      <c r="J26" s="32">
        <f t="shared" si="1"/>
        <v>19.079999999999998</v>
      </c>
      <c r="K26" s="9">
        <f t="shared" si="2"/>
        <v>44777</v>
      </c>
      <c r="L26" s="12">
        <v>3</v>
      </c>
      <c r="M26" s="6">
        <v>21.29</v>
      </c>
      <c r="N26" s="6">
        <v>0</v>
      </c>
      <c r="O26" s="141">
        <f t="shared" si="5"/>
        <v>21.29</v>
      </c>
      <c r="P26" s="29" t="s">
        <v>138</v>
      </c>
    </row>
    <row r="27" spans="1:16" x14ac:dyDescent="0.3">
      <c r="A27" s="7">
        <v>45152</v>
      </c>
      <c r="B27" s="28" t="s">
        <v>97</v>
      </c>
      <c r="F27" s="8">
        <f t="shared" si="0"/>
        <v>45152</v>
      </c>
      <c r="G27" s="11">
        <v>2</v>
      </c>
      <c r="H27" s="22">
        <v>19.2</v>
      </c>
      <c r="I27" s="4">
        <v>0</v>
      </c>
      <c r="J27" s="50">
        <f t="shared" si="1"/>
        <v>19.2</v>
      </c>
      <c r="K27" s="9">
        <f t="shared" si="2"/>
        <v>45152</v>
      </c>
      <c r="L27" s="12">
        <v>3</v>
      </c>
      <c r="M27" s="6">
        <v>21.05</v>
      </c>
      <c r="N27" s="6">
        <v>0</v>
      </c>
      <c r="O27" s="33">
        <f t="shared" si="5"/>
        <v>21.05</v>
      </c>
      <c r="P27" s="29" t="s">
        <v>138</v>
      </c>
    </row>
    <row r="28" spans="1:16" x14ac:dyDescent="0.3">
      <c r="F28" s="8" t="str">
        <f t="shared" si="0"/>
        <v/>
      </c>
      <c r="H28" s="22"/>
      <c r="K28" s="9" t="str">
        <f t="shared" si="2"/>
        <v/>
      </c>
    </row>
    <row r="29" spans="1:16" x14ac:dyDescent="0.3">
      <c r="F29" s="8" t="str">
        <f t="shared" si="0"/>
        <v/>
      </c>
      <c r="H29" s="22"/>
      <c r="K29" s="9" t="str">
        <f t="shared" si="2"/>
        <v/>
      </c>
    </row>
    <row r="30" spans="1:16" x14ac:dyDescent="0.3">
      <c r="F30" s="8" t="str">
        <f t="shared" si="0"/>
        <v/>
      </c>
      <c r="K30" s="9" t="str">
        <f t="shared" si="2"/>
        <v/>
      </c>
    </row>
    <row r="31" spans="1:16" x14ac:dyDescent="0.3">
      <c r="F31" s="8" t="str">
        <f t="shared" si="0"/>
        <v/>
      </c>
      <c r="K31" s="9" t="str">
        <f t="shared" si="2"/>
        <v/>
      </c>
    </row>
    <row r="32" spans="1:16" x14ac:dyDescent="0.3">
      <c r="F32" s="8" t="str">
        <f t="shared" si="0"/>
        <v/>
      </c>
      <c r="K32" s="9" t="str">
        <f t="shared" si="2"/>
        <v/>
      </c>
    </row>
    <row r="33" spans="6:11" x14ac:dyDescent="0.3">
      <c r="F33" s="8" t="str">
        <f t="shared" si="0"/>
        <v/>
      </c>
      <c r="K33" s="9" t="str">
        <f t="shared" si="2"/>
        <v/>
      </c>
    </row>
    <row r="34" spans="6:11" x14ac:dyDescent="0.3">
      <c r="F34" s="8" t="str">
        <f t="shared" si="0"/>
        <v/>
      </c>
      <c r="K34" s="9" t="str">
        <f t="shared" si="2"/>
        <v/>
      </c>
    </row>
    <row r="35" spans="6:11" x14ac:dyDescent="0.3">
      <c r="F35" s="8" t="str">
        <f t="shared" ref="F35:F66" si="6">IF(ISNUMBER(A35),A35,"")</f>
        <v/>
      </c>
      <c r="K35" s="9" t="str">
        <f t="shared" ref="K35:K71" si="7">IF(ISNUMBER(F35),F35,"")</f>
        <v/>
      </c>
    </row>
    <row r="36" spans="6:11" x14ac:dyDescent="0.3">
      <c r="F36" s="8" t="str">
        <f t="shared" si="6"/>
        <v/>
      </c>
      <c r="K36" s="9" t="str">
        <f t="shared" si="7"/>
        <v/>
      </c>
    </row>
    <row r="37" spans="6:11" x14ac:dyDescent="0.3">
      <c r="F37" s="8" t="str">
        <f t="shared" si="6"/>
        <v/>
      </c>
      <c r="K37" s="9" t="str">
        <f t="shared" si="7"/>
        <v/>
      </c>
    </row>
    <row r="38" spans="6:11" x14ac:dyDescent="0.3">
      <c r="F38" s="8" t="str">
        <f t="shared" si="6"/>
        <v/>
      </c>
      <c r="K38" s="9" t="str">
        <f t="shared" si="7"/>
        <v/>
      </c>
    </row>
    <row r="39" spans="6:11" x14ac:dyDescent="0.3">
      <c r="F39" s="8" t="str">
        <f t="shared" si="6"/>
        <v/>
      </c>
      <c r="K39" s="9" t="str">
        <f t="shared" si="7"/>
        <v/>
      </c>
    </row>
    <row r="40" spans="6:11" x14ac:dyDescent="0.3">
      <c r="F40" s="8" t="str">
        <f t="shared" si="6"/>
        <v/>
      </c>
      <c r="K40" s="9" t="str">
        <f t="shared" si="7"/>
        <v/>
      </c>
    </row>
    <row r="41" spans="6:11" x14ac:dyDescent="0.3">
      <c r="F41" s="8" t="str">
        <f t="shared" si="6"/>
        <v/>
      </c>
      <c r="K41" s="9" t="str">
        <f t="shared" si="7"/>
        <v/>
      </c>
    </row>
    <row r="42" spans="6:11" x14ac:dyDescent="0.3">
      <c r="F42" s="8" t="str">
        <f t="shared" si="6"/>
        <v/>
      </c>
      <c r="K42" s="9" t="str">
        <f t="shared" si="7"/>
        <v/>
      </c>
    </row>
    <row r="43" spans="6:11" x14ac:dyDescent="0.3">
      <c r="F43" s="8" t="str">
        <f t="shared" si="6"/>
        <v/>
      </c>
      <c r="K43" s="9" t="str">
        <f t="shared" si="7"/>
        <v/>
      </c>
    </row>
    <row r="44" spans="6:11" x14ac:dyDescent="0.3">
      <c r="F44" s="8" t="str">
        <f t="shared" si="6"/>
        <v/>
      </c>
      <c r="K44" s="9" t="str">
        <f t="shared" si="7"/>
        <v/>
      </c>
    </row>
    <row r="45" spans="6:11" x14ac:dyDescent="0.3">
      <c r="F45" s="8" t="str">
        <f t="shared" si="6"/>
        <v/>
      </c>
      <c r="K45" s="9" t="str">
        <f t="shared" si="7"/>
        <v/>
      </c>
    </row>
    <row r="46" spans="6:11" x14ac:dyDescent="0.3">
      <c r="F46" s="8" t="str">
        <f t="shared" si="6"/>
        <v/>
      </c>
      <c r="K46" s="9" t="str">
        <f t="shared" si="7"/>
        <v/>
      </c>
    </row>
    <row r="47" spans="6:11" x14ac:dyDescent="0.3">
      <c r="F47" s="8" t="str">
        <f t="shared" si="6"/>
        <v/>
      </c>
      <c r="K47" s="9" t="str">
        <f t="shared" si="7"/>
        <v/>
      </c>
    </row>
    <row r="48" spans="6:11" x14ac:dyDescent="0.3">
      <c r="F48" s="8" t="str">
        <f t="shared" si="6"/>
        <v/>
      </c>
      <c r="K48" s="9" t="str">
        <f t="shared" si="7"/>
        <v/>
      </c>
    </row>
    <row r="49" spans="6:11" x14ac:dyDescent="0.3">
      <c r="F49" s="8" t="str">
        <f t="shared" si="6"/>
        <v/>
      </c>
      <c r="K49" s="9" t="str">
        <f t="shared" si="7"/>
        <v/>
      </c>
    </row>
    <row r="50" spans="6:11" x14ac:dyDescent="0.3">
      <c r="F50" s="8" t="str">
        <f t="shared" si="6"/>
        <v/>
      </c>
      <c r="K50" s="9" t="str">
        <f t="shared" si="7"/>
        <v/>
      </c>
    </row>
    <row r="51" spans="6:11" x14ac:dyDescent="0.3">
      <c r="F51" s="8" t="str">
        <f t="shared" si="6"/>
        <v/>
      </c>
      <c r="K51" s="9" t="str">
        <f t="shared" si="7"/>
        <v/>
      </c>
    </row>
    <row r="52" spans="6:11" x14ac:dyDescent="0.3">
      <c r="F52" s="8" t="str">
        <f t="shared" si="6"/>
        <v/>
      </c>
      <c r="K52" s="9" t="str">
        <f t="shared" si="7"/>
        <v/>
      </c>
    </row>
    <row r="53" spans="6:11" x14ac:dyDescent="0.3">
      <c r="F53" s="8" t="str">
        <f t="shared" si="6"/>
        <v/>
      </c>
      <c r="K53" s="9" t="str">
        <f t="shared" si="7"/>
        <v/>
      </c>
    </row>
    <row r="54" spans="6:11" x14ac:dyDescent="0.3">
      <c r="F54" s="8" t="str">
        <f t="shared" si="6"/>
        <v/>
      </c>
      <c r="K54" s="9" t="str">
        <f t="shared" si="7"/>
        <v/>
      </c>
    </row>
    <row r="55" spans="6:11" x14ac:dyDescent="0.3">
      <c r="F55" s="8" t="str">
        <f t="shared" si="6"/>
        <v/>
      </c>
      <c r="K55" s="9" t="str">
        <f t="shared" si="7"/>
        <v/>
      </c>
    </row>
    <row r="56" spans="6:11" x14ac:dyDescent="0.3">
      <c r="F56" s="8" t="str">
        <f t="shared" si="6"/>
        <v/>
      </c>
      <c r="K56" s="9" t="str">
        <f t="shared" si="7"/>
        <v/>
      </c>
    </row>
    <row r="57" spans="6:11" x14ac:dyDescent="0.3">
      <c r="F57" s="8" t="str">
        <f t="shared" si="6"/>
        <v/>
      </c>
      <c r="K57" s="9" t="str">
        <f t="shared" si="7"/>
        <v/>
      </c>
    </row>
    <row r="58" spans="6:11" x14ac:dyDescent="0.3">
      <c r="F58" s="8" t="str">
        <f t="shared" si="6"/>
        <v/>
      </c>
      <c r="K58" s="9" t="str">
        <f t="shared" si="7"/>
        <v/>
      </c>
    </row>
    <row r="59" spans="6:11" x14ac:dyDescent="0.3">
      <c r="F59" s="8" t="str">
        <f t="shared" si="6"/>
        <v/>
      </c>
      <c r="K59" s="9" t="str">
        <f t="shared" si="7"/>
        <v/>
      </c>
    </row>
    <row r="60" spans="6:11" x14ac:dyDescent="0.3">
      <c r="F60" s="8" t="str">
        <f t="shared" si="6"/>
        <v/>
      </c>
      <c r="K60" s="9" t="str">
        <f t="shared" si="7"/>
        <v/>
      </c>
    </row>
    <row r="61" spans="6:11" x14ac:dyDescent="0.3">
      <c r="F61" s="8" t="str">
        <f t="shared" si="6"/>
        <v/>
      </c>
      <c r="K61" s="9" t="str">
        <f t="shared" si="7"/>
        <v/>
      </c>
    </row>
    <row r="62" spans="6:11" x14ac:dyDescent="0.3">
      <c r="F62" s="8" t="str">
        <f t="shared" si="6"/>
        <v/>
      </c>
      <c r="K62" s="9" t="str">
        <f t="shared" si="7"/>
        <v/>
      </c>
    </row>
    <row r="63" spans="6:11" x14ac:dyDescent="0.3">
      <c r="F63" s="8" t="str">
        <f t="shared" si="6"/>
        <v/>
      </c>
      <c r="K63" s="9" t="str">
        <f t="shared" si="7"/>
        <v/>
      </c>
    </row>
    <row r="64" spans="6:11" x14ac:dyDescent="0.3">
      <c r="F64" s="8" t="str">
        <f t="shared" si="6"/>
        <v/>
      </c>
      <c r="K64" s="9" t="str">
        <f t="shared" si="7"/>
        <v/>
      </c>
    </row>
    <row r="65" spans="6:11" x14ac:dyDescent="0.3">
      <c r="F65" s="8" t="str">
        <f t="shared" si="6"/>
        <v/>
      </c>
      <c r="K65" s="9" t="str">
        <f t="shared" si="7"/>
        <v/>
      </c>
    </row>
    <row r="66" spans="6:11" x14ac:dyDescent="0.3">
      <c r="F66" s="8" t="str">
        <f t="shared" si="6"/>
        <v/>
      </c>
      <c r="K66" s="9" t="str">
        <f t="shared" si="7"/>
        <v/>
      </c>
    </row>
    <row r="67" spans="6:11" x14ac:dyDescent="0.3">
      <c r="F67" s="8" t="str">
        <f t="shared" ref="F67:F80" si="8">IF(ISNUMBER(A67),A67,"")</f>
        <v/>
      </c>
      <c r="K67" s="9" t="str">
        <f t="shared" si="7"/>
        <v/>
      </c>
    </row>
    <row r="68" spans="6:11" x14ac:dyDescent="0.3">
      <c r="F68" s="8" t="str">
        <f t="shared" si="8"/>
        <v/>
      </c>
      <c r="K68" s="9" t="str">
        <f t="shared" si="7"/>
        <v/>
      </c>
    </row>
    <row r="69" spans="6:11" x14ac:dyDescent="0.3">
      <c r="F69" s="8" t="str">
        <f t="shared" si="8"/>
        <v/>
      </c>
      <c r="K69" s="9" t="str">
        <f t="shared" si="7"/>
        <v/>
      </c>
    </row>
    <row r="70" spans="6:11" x14ac:dyDescent="0.3">
      <c r="F70" s="8" t="str">
        <f t="shared" si="8"/>
        <v/>
      </c>
      <c r="K70" s="9" t="str">
        <f t="shared" si="7"/>
        <v/>
      </c>
    </row>
    <row r="71" spans="6:11" x14ac:dyDescent="0.3">
      <c r="F71" s="8" t="str">
        <f t="shared" si="8"/>
        <v/>
      </c>
      <c r="K71" s="9" t="str">
        <f t="shared" si="7"/>
        <v/>
      </c>
    </row>
    <row r="72" spans="6:11" x14ac:dyDescent="0.3">
      <c r="F72" s="8" t="str">
        <f t="shared" si="8"/>
        <v/>
      </c>
      <c r="K72" s="9" t="str">
        <f t="shared" ref="K72:K80" si="9">IF(ISNUMBER(F72),F72,"")</f>
        <v/>
      </c>
    </row>
    <row r="73" spans="6:11" x14ac:dyDescent="0.3">
      <c r="F73" s="8" t="str">
        <f t="shared" si="8"/>
        <v/>
      </c>
      <c r="K73" s="9" t="str">
        <f t="shared" si="9"/>
        <v/>
      </c>
    </row>
    <row r="74" spans="6:11" x14ac:dyDescent="0.3">
      <c r="F74" s="8" t="str">
        <f t="shared" si="8"/>
        <v/>
      </c>
      <c r="K74" s="9" t="str">
        <f t="shared" si="9"/>
        <v/>
      </c>
    </row>
    <row r="75" spans="6:11" x14ac:dyDescent="0.3">
      <c r="F75" s="8" t="str">
        <f t="shared" si="8"/>
        <v/>
      </c>
      <c r="K75" s="9" t="str">
        <f t="shared" si="9"/>
        <v/>
      </c>
    </row>
    <row r="76" spans="6:11" x14ac:dyDescent="0.3">
      <c r="F76" s="8" t="str">
        <f t="shared" si="8"/>
        <v/>
      </c>
      <c r="K76" s="9" t="str">
        <f t="shared" si="9"/>
        <v/>
      </c>
    </row>
    <row r="77" spans="6:11" x14ac:dyDescent="0.3">
      <c r="F77" s="8" t="str">
        <f t="shared" si="8"/>
        <v/>
      </c>
      <c r="K77" s="9" t="str">
        <f t="shared" si="9"/>
        <v/>
      </c>
    </row>
    <row r="78" spans="6:11" x14ac:dyDescent="0.3">
      <c r="F78" s="8" t="str">
        <f t="shared" si="8"/>
        <v/>
      </c>
      <c r="K78" s="9" t="str">
        <f t="shared" si="9"/>
        <v/>
      </c>
    </row>
    <row r="79" spans="6:11" x14ac:dyDescent="0.3">
      <c r="F79" s="8" t="str">
        <f t="shared" si="8"/>
        <v/>
      </c>
      <c r="K79" s="9" t="str">
        <f t="shared" si="9"/>
        <v/>
      </c>
    </row>
    <row r="80" spans="6:11" x14ac:dyDescent="0.3">
      <c r="F80" s="8" t="str">
        <f t="shared" si="8"/>
        <v/>
      </c>
      <c r="K80" s="9" t="str">
        <f t="shared" si="9"/>
        <v/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84"/>
  <sheetViews>
    <sheetView topLeftCell="J1" workbookViewId="0">
      <selection activeCell="R18" sqref="R18"/>
    </sheetView>
  </sheetViews>
  <sheetFormatPr defaultRowHeight="13" x14ac:dyDescent="0.3"/>
  <cols>
    <col min="1" max="1" width="10.1796875" style="2" bestFit="1" customWidth="1"/>
    <col min="2" max="2" width="9.1796875" style="10" customWidth="1"/>
    <col min="3" max="4" width="9.1796875" style="2" customWidth="1"/>
    <col min="5" max="5" width="9.1796875" style="1" customWidth="1"/>
    <col min="6" max="6" width="10.453125" style="4" customWidth="1"/>
    <col min="7" max="7" width="9.1796875" style="11" customWidth="1"/>
    <col min="8" max="10" width="9.1796875" style="4" customWidth="1"/>
    <col min="11" max="11" width="10.26953125" style="6" customWidth="1"/>
    <col min="12" max="12" width="9.1796875" style="12" customWidth="1"/>
    <col min="13" max="15" width="9.1796875" style="6" customWidth="1"/>
    <col min="16" max="16" width="10.26953125" style="14" customWidth="1"/>
    <col min="17" max="20" width="9.1796875" style="14" customWidth="1"/>
    <col min="21" max="21" width="9.81640625" style="40" customWidth="1"/>
    <col min="22" max="25" width="9.1796875" style="40" customWidth="1"/>
  </cols>
  <sheetData>
    <row r="1" spans="1:27" x14ac:dyDescent="0.3">
      <c r="A1" s="1" t="s">
        <v>20</v>
      </c>
      <c r="F1" s="3" t="s">
        <v>21</v>
      </c>
      <c r="K1" s="5" t="s">
        <v>43</v>
      </c>
      <c r="P1" s="13" t="s">
        <v>45</v>
      </c>
      <c r="U1" s="39" t="s">
        <v>100</v>
      </c>
    </row>
    <row r="2" spans="1:27" s="80" customFormat="1" ht="23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  <c r="P2" s="79" t="s">
        <v>146</v>
      </c>
      <c r="Q2" s="79" t="s">
        <v>147</v>
      </c>
      <c r="R2" s="79" t="s">
        <v>148</v>
      </c>
      <c r="S2" s="79" t="s">
        <v>150</v>
      </c>
      <c r="T2" s="79" t="s">
        <v>149</v>
      </c>
      <c r="U2" s="79" t="s">
        <v>146</v>
      </c>
      <c r="V2" s="79" t="s">
        <v>147</v>
      </c>
      <c r="W2" s="79" t="s">
        <v>148</v>
      </c>
      <c r="X2" s="79" t="s">
        <v>150</v>
      </c>
      <c r="Y2" s="79" t="s">
        <v>149</v>
      </c>
    </row>
    <row r="3" spans="1:27" x14ac:dyDescent="0.3">
      <c r="A3" s="7">
        <v>40010</v>
      </c>
      <c r="B3" s="10">
        <v>22</v>
      </c>
      <c r="F3" s="45">
        <f>A3</f>
        <v>40010</v>
      </c>
      <c r="G3" s="11">
        <v>32</v>
      </c>
      <c r="H3" s="4">
        <v>13.67</v>
      </c>
      <c r="I3" s="4">
        <v>0</v>
      </c>
      <c r="J3" s="32">
        <f>H3+I3</f>
        <v>13.67</v>
      </c>
      <c r="K3" s="46">
        <f>A3</f>
        <v>40010</v>
      </c>
      <c r="L3" s="12">
        <v>42</v>
      </c>
      <c r="M3" s="23">
        <v>1.2</v>
      </c>
      <c r="N3" s="6">
        <v>0</v>
      </c>
      <c r="O3" s="34">
        <v>1.2</v>
      </c>
      <c r="P3" s="47">
        <f>A3</f>
        <v>40010</v>
      </c>
      <c r="Q3" s="14">
        <v>52</v>
      </c>
      <c r="R3" s="14">
        <v>1.32</v>
      </c>
      <c r="S3" s="14">
        <v>0</v>
      </c>
      <c r="T3" s="37">
        <v>1.32</v>
      </c>
    </row>
    <row r="4" spans="1:27" x14ac:dyDescent="0.3">
      <c r="A4" s="7">
        <v>40102</v>
      </c>
      <c r="B4" s="10">
        <v>22</v>
      </c>
      <c r="C4" s="20">
        <v>31.76</v>
      </c>
      <c r="D4" s="2">
        <v>0</v>
      </c>
      <c r="E4" s="16">
        <v>31.76</v>
      </c>
      <c r="F4" s="45">
        <v>40102</v>
      </c>
      <c r="G4" s="11">
        <v>32</v>
      </c>
      <c r="H4" s="22">
        <v>13.7</v>
      </c>
      <c r="I4" s="4">
        <v>0</v>
      </c>
      <c r="J4" s="50">
        <f>H4+I4</f>
        <v>13.7</v>
      </c>
      <c r="K4" s="46">
        <v>40102</v>
      </c>
      <c r="L4" s="12">
        <v>42</v>
      </c>
      <c r="M4" s="23">
        <v>1.22</v>
      </c>
      <c r="N4" s="6">
        <v>0</v>
      </c>
      <c r="O4" s="18">
        <v>1.22</v>
      </c>
      <c r="P4" s="47"/>
      <c r="U4" s="48">
        <v>40102</v>
      </c>
      <c r="V4" s="49" t="s">
        <v>101</v>
      </c>
      <c r="W4" s="40">
        <v>10.43</v>
      </c>
      <c r="X4" s="40">
        <v>10.57</v>
      </c>
      <c r="Y4" s="44">
        <f>W4+X4</f>
        <v>21</v>
      </c>
    </row>
    <row r="5" spans="1:27" x14ac:dyDescent="0.3">
      <c r="A5" s="7">
        <v>40387</v>
      </c>
      <c r="B5" s="10">
        <v>22</v>
      </c>
      <c r="C5" s="20">
        <v>31.58</v>
      </c>
      <c r="D5" s="2">
        <v>0</v>
      </c>
      <c r="E5" s="16">
        <f>C5</f>
        <v>31.58</v>
      </c>
      <c r="F5" s="45">
        <v>40387</v>
      </c>
      <c r="G5" s="11">
        <v>32</v>
      </c>
      <c r="H5" s="22">
        <v>13.7</v>
      </c>
      <c r="I5" s="4">
        <v>0</v>
      </c>
      <c r="J5" s="50">
        <f>H5+I5</f>
        <v>13.7</v>
      </c>
      <c r="K5" s="46">
        <v>40387</v>
      </c>
      <c r="L5" s="12">
        <v>42</v>
      </c>
      <c r="M5" s="23">
        <v>0.89</v>
      </c>
      <c r="N5" s="6">
        <v>0</v>
      </c>
      <c r="O5" s="18">
        <v>0.89</v>
      </c>
      <c r="P5" s="47">
        <v>40387</v>
      </c>
      <c r="Q5" s="14">
        <v>52</v>
      </c>
      <c r="R5" s="14">
        <v>1.1399999999999999</v>
      </c>
      <c r="S5" s="14">
        <v>0</v>
      </c>
      <c r="T5" s="37">
        <v>1.1399999999999999</v>
      </c>
      <c r="U5" s="48">
        <v>40387</v>
      </c>
      <c r="V5" s="49" t="s">
        <v>101</v>
      </c>
      <c r="W5" s="40">
        <v>10.37</v>
      </c>
      <c r="X5" s="40">
        <v>10.57</v>
      </c>
      <c r="Y5" s="44">
        <f>W5+X5</f>
        <v>20.939999999999998</v>
      </c>
    </row>
    <row r="6" spans="1:27" x14ac:dyDescent="0.3">
      <c r="A6" s="7">
        <v>41468</v>
      </c>
      <c r="B6" s="10">
        <v>22</v>
      </c>
      <c r="C6" s="20">
        <v>31.18</v>
      </c>
      <c r="D6" s="2">
        <v>0</v>
      </c>
      <c r="E6" s="16">
        <f>C6</f>
        <v>31.18</v>
      </c>
      <c r="F6" s="45">
        <f>A6</f>
        <v>41468</v>
      </c>
      <c r="G6" s="11">
        <v>32</v>
      </c>
      <c r="H6" s="22">
        <v>13.1</v>
      </c>
      <c r="I6" s="4">
        <v>0</v>
      </c>
      <c r="J6" s="50">
        <f>H6+I6</f>
        <v>13.1</v>
      </c>
      <c r="K6" s="46">
        <f>A6</f>
        <v>41468</v>
      </c>
      <c r="L6" s="12">
        <v>42</v>
      </c>
      <c r="M6" s="23">
        <v>0.25</v>
      </c>
      <c r="N6" s="6">
        <v>0</v>
      </c>
      <c r="O6" s="18">
        <f>M6+N6</f>
        <v>0.25</v>
      </c>
      <c r="P6" s="47">
        <f>A6</f>
        <v>41468</v>
      </c>
      <c r="R6" s="36"/>
      <c r="T6" s="19"/>
      <c r="U6" s="48">
        <f>A6</f>
        <v>41468</v>
      </c>
      <c r="W6" s="42"/>
      <c r="Y6" s="43"/>
      <c r="Z6" s="29" t="s">
        <v>124</v>
      </c>
    </row>
    <row r="7" spans="1:27" x14ac:dyDescent="0.3">
      <c r="A7" s="7">
        <v>45770</v>
      </c>
      <c r="B7" s="10">
        <v>22</v>
      </c>
      <c r="C7" s="20">
        <v>26.74</v>
      </c>
      <c r="D7" s="2">
        <v>0</v>
      </c>
      <c r="E7" s="16">
        <f>C7</f>
        <v>26.74</v>
      </c>
      <c r="F7" s="45">
        <f>A7</f>
        <v>45770</v>
      </c>
      <c r="G7" s="11">
        <v>31</v>
      </c>
      <c r="H7" s="4">
        <v>24.62</v>
      </c>
      <c r="I7" s="4">
        <v>17.72</v>
      </c>
      <c r="J7" s="50">
        <f>H7-I7</f>
        <v>6.9000000000000021</v>
      </c>
      <c r="K7" s="46">
        <f>A7</f>
        <v>45770</v>
      </c>
      <c r="L7" s="12" t="s">
        <v>97</v>
      </c>
      <c r="M7" s="23"/>
      <c r="O7" s="18"/>
      <c r="P7" s="47">
        <f>A7</f>
        <v>45770</v>
      </c>
      <c r="Q7" s="14" t="s">
        <v>97</v>
      </c>
      <c r="R7" s="36"/>
      <c r="T7" s="19"/>
      <c r="U7" s="48">
        <f>A7</f>
        <v>45770</v>
      </c>
      <c r="W7" s="42"/>
      <c r="Y7" s="43"/>
      <c r="Z7" t="s">
        <v>97</v>
      </c>
      <c r="AA7" t="s">
        <v>172</v>
      </c>
    </row>
    <row r="8" spans="1:27" x14ac:dyDescent="0.3">
      <c r="A8" s="7"/>
      <c r="C8" s="20"/>
      <c r="E8" s="16"/>
      <c r="F8" s="8"/>
      <c r="J8" s="17"/>
      <c r="K8" s="9"/>
      <c r="M8" s="23"/>
      <c r="O8" s="18"/>
      <c r="P8" s="15"/>
      <c r="R8" s="36"/>
      <c r="T8" s="19"/>
      <c r="U8" s="41"/>
      <c r="W8" s="42"/>
      <c r="Y8" s="43"/>
    </row>
    <row r="9" spans="1:27" x14ac:dyDescent="0.3">
      <c r="A9" s="7"/>
      <c r="C9" s="20"/>
      <c r="E9" s="16"/>
      <c r="F9" s="8"/>
      <c r="J9" s="17"/>
      <c r="K9" s="9"/>
      <c r="M9" s="23"/>
      <c r="O9" s="18"/>
      <c r="P9" s="15"/>
      <c r="R9" s="36"/>
      <c r="T9" s="19"/>
      <c r="U9" s="41"/>
      <c r="W9" s="42"/>
      <c r="Y9" s="43"/>
    </row>
    <row r="10" spans="1:27" x14ac:dyDescent="0.3">
      <c r="A10" s="7"/>
      <c r="C10" s="20"/>
      <c r="E10" s="16"/>
      <c r="F10" s="8"/>
      <c r="J10" s="17"/>
      <c r="K10" s="9"/>
      <c r="M10" s="23"/>
      <c r="O10" s="18"/>
      <c r="P10" s="15"/>
      <c r="R10" s="36"/>
      <c r="T10" s="19"/>
      <c r="U10" s="41"/>
      <c r="W10" s="42"/>
      <c r="Y10" s="43"/>
    </row>
    <row r="11" spans="1:27" x14ac:dyDescent="0.3">
      <c r="A11" s="7"/>
      <c r="C11" s="20"/>
      <c r="E11" s="16"/>
      <c r="F11" s="8"/>
      <c r="G11" s="25"/>
      <c r="J11" s="17"/>
      <c r="K11" s="9"/>
      <c r="L11" s="27"/>
      <c r="M11" s="23"/>
      <c r="O11" s="18"/>
      <c r="P11" s="15"/>
      <c r="R11" s="36"/>
      <c r="T11" s="19"/>
      <c r="U11" s="41"/>
      <c r="W11" s="42"/>
      <c r="Y11" s="43"/>
    </row>
    <row r="12" spans="1:27" x14ac:dyDescent="0.3">
      <c r="A12" s="7"/>
      <c r="C12" s="20"/>
      <c r="E12" s="16"/>
      <c r="F12" s="8"/>
      <c r="J12" s="17"/>
      <c r="K12" s="9"/>
      <c r="M12" s="23"/>
      <c r="O12" s="18"/>
      <c r="P12" s="15"/>
      <c r="R12" s="36"/>
      <c r="T12" s="19"/>
      <c r="U12" s="41"/>
      <c r="W12" s="42"/>
      <c r="Y12" s="43"/>
    </row>
    <row r="13" spans="1:27" x14ac:dyDescent="0.3">
      <c r="A13" s="7"/>
      <c r="C13" s="20"/>
      <c r="E13" s="16"/>
      <c r="F13" s="8"/>
      <c r="J13" s="17"/>
      <c r="K13" s="9"/>
      <c r="M13" s="23"/>
      <c r="O13" s="18"/>
      <c r="P13" s="15"/>
      <c r="R13" s="36"/>
      <c r="T13" s="19"/>
      <c r="U13" s="41"/>
      <c r="W13" s="42"/>
      <c r="Y13" s="43"/>
    </row>
    <row r="14" spans="1:27" x14ac:dyDescent="0.3">
      <c r="A14" s="7"/>
      <c r="C14" s="20"/>
      <c r="E14" s="16"/>
      <c r="F14" s="8"/>
      <c r="J14" s="17"/>
      <c r="K14" s="9"/>
      <c r="M14" s="23"/>
      <c r="O14" s="18"/>
      <c r="P14" s="15"/>
      <c r="R14" s="36"/>
      <c r="T14" s="19"/>
      <c r="U14" s="41"/>
      <c r="W14" s="42"/>
      <c r="Y14" s="43"/>
    </row>
    <row r="15" spans="1:27" x14ac:dyDescent="0.3">
      <c r="A15" s="7"/>
      <c r="C15" s="20"/>
      <c r="E15" s="16"/>
      <c r="F15" s="8"/>
      <c r="J15" s="17"/>
      <c r="K15" s="9"/>
      <c r="M15" s="23"/>
      <c r="O15" s="18"/>
      <c r="P15" s="15"/>
      <c r="R15" s="36"/>
      <c r="T15" s="19"/>
      <c r="U15" s="41"/>
      <c r="W15" s="42"/>
      <c r="Y15" s="43"/>
    </row>
    <row r="16" spans="1:27" x14ac:dyDescent="0.3">
      <c r="A16" s="7"/>
      <c r="C16" s="20"/>
      <c r="E16" s="16"/>
      <c r="F16" s="8"/>
      <c r="J16" s="17"/>
      <c r="K16" s="9"/>
      <c r="M16" s="23"/>
      <c r="O16" s="18"/>
      <c r="P16" s="15"/>
      <c r="R16" s="36"/>
      <c r="T16" s="19"/>
      <c r="U16" s="41"/>
      <c r="W16" s="42"/>
      <c r="Y16" s="43"/>
    </row>
    <row r="17" spans="1:25" x14ac:dyDescent="0.3">
      <c r="A17" s="7"/>
      <c r="C17" s="20"/>
      <c r="F17" s="8"/>
      <c r="J17" s="17"/>
      <c r="K17" s="9"/>
      <c r="M17" s="23"/>
      <c r="O17" s="18"/>
      <c r="P17" s="15"/>
      <c r="R17" s="36"/>
      <c r="T17" s="19"/>
      <c r="U17" s="41"/>
      <c r="W17" s="42"/>
      <c r="Y17" s="43"/>
    </row>
    <row r="18" spans="1:25" x14ac:dyDescent="0.3">
      <c r="A18" s="7"/>
      <c r="C18" s="20"/>
      <c r="E18" s="16"/>
      <c r="F18" s="8"/>
      <c r="G18" s="30"/>
      <c r="H18" s="30"/>
      <c r="I18" s="30"/>
      <c r="J18" s="30"/>
      <c r="K18" s="9"/>
      <c r="M18" s="23"/>
      <c r="O18" s="34"/>
      <c r="P18" s="15"/>
      <c r="R18" s="36"/>
      <c r="T18" s="38"/>
      <c r="U18" s="41"/>
      <c r="W18" s="42"/>
      <c r="Y18" s="44"/>
    </row>
    <row r="19" spans="1:25" x14ac:dyDescent="0.3">
      <c r="F19" s="8" t="str">
        <f t="shared" ref="F19:F50" si="0">IF(ISNUMBER(A19),A19,"")</f>
        <v/>
      </c>
      <c r="K19" s="9" t="str">
        <f t="shared" ref="K19:K50" si="1">IF(ISNUMBER(F19),F19,"")</f>
        <v/>
      </c>
      <c r="P19" s="15" t="str">
        <f t="shared" ref="P19:P50" si="2">IF(ISNUMBER(K19),K19,"")</f>
        <v/>
      </c>
      <c r="U19" s="41" t="str">
        <f t="shared" ref="U19:U84" si="3">IF(ISNUMBER(P19),P19,"")</f>
        <v/>
      </c>
    </row>
    <row r="20" spans="1:25" x14ac:dyDescent="0.3">
      <c r="F20" s="8" t="str">
        <f t="shared" si="0"/>
        <v/>
      </c>
      <c r="K20" s="9" t="str">
        <f t="shared" si="1"/>
        <v/>
      </c>
      <c r="P20" s="15" t="str">
        <f t="shared" si="2"/>
        <v/>
      </c>
      <c r="U20" s="41" t="str">
        <f t="shared" si="3"/>
        <v/>
      </c>
    </row>
    <row r="21" spans="1:25" x14ac:dyDescent="0.3">
      <c r="F21" s="8" t="str">
        <f t="shared" si="0"/>
        <v/>
      </c>
      <c r="K21" s="9" t="str">
        <f t="shared" si="1"/>
        <v/>
      </c>
      <c r="P21" s="15" t="str">
        <f t="shared" si="2"/>
        <v/>
      </c>
      <c r="U21" s="41" t="str">
        <f t="shared" si="3"/>
        <v/>
      </c>
    </row>
    <row r="22" spans="1:25" x14ac:dyDescent="0.3">
      <c r="F22" s="8" t="str">
        <f t="shared" si="0"/>
        <v/>
      </c>
      <c r="K22" s="9" t="str">
        <f t="shared" si="1"/>
        <v/>
      </c>
      <c r="P22" s="15" t="str">
        <f t="shared" si="2"/>
        <v/>
      </c>
      <c r="U22" s="41" t="str">
        <f t="shared" si="3"/>
        <v/>
      </c>
    </row>
    <row r="23" spans="1:25" x14ac:dyDescent="0.3">
      <c r="F23" s="8" t="str">
        <f t="shared" si="0"/>
        <v/>
      </c>
      <c r="K23" s="9" t="str">
        <f t="shared" si="1"/>
        <v/>
      </c>
      <c r="P23" s="15" t="str">
        <f t="shared" si="2"/>
        <v/>
      </c>
      <c r="U23" s="41" t="str">
        <f t="shared" si="3"/>
        <v/>
      </c>
    </row>
    <row r="24" spans="1:25" x14ac:dyDescent="0.3">
      <c r="F24" s="8" t="str">
        <f t="shared" si="0"/>
        <v/>
      </c>
      <c r="K24" s="9" t="str">
        <f t="shared" si="1"/>
        <v/>
      </c>
      <c r="P24" s="15" t="str">
        <f t="shared" si="2"/>
        <v/>
      </c>
      <c r="U24" s="41" t="str">
        <f t="shared" si="3"/>
        <v/>
      </c>
    </row>
    <row r="25" spans="1:25" x14ac:dyDescent="0.3">
      <c r="F25" s="8" t="str">
        <f t="shared" si="0"/>
        <v/>
      </c>
      <c r="K25" s="9" t="str">
        <f t="shared" si="1"/>
        <v/>
      </c>
      <c r="P25" s="15" t="str">
        <f t="shared" si="2"/>
        <v/>
      </c>
      <c r="U25" s="41" t="str">
        <f t="shared" si="3"/>
        <v/>
      </c>
    </row>
    <row r="26" spans="1:25" x14ac:dyDescent="0.3">
      <c r="F26" s="8" t="str">
        <f t="shared" si="0"/>
        <v/>
      </c>
      <c r="K26" s="9" t="str">
        <f t="shared" si="1"/>
        <v/>
      </c>
      <c r="P26" s="15" t="str">
        <f t="shared" si="2"/>
        <v/>
      </c>
      <c r="U26" s="41" t="str">
        <f t="shared" si="3"/>
        <v/>
      </c>
    </row>
    <row r="27" spans="1:25" x14ac:dyDescent="0.3">
      <c r="F27" s="8" t="str">
        <f t="shared" si="0"/>
        <v/>
      </c>
      <c r="K27" s="9" t="str">
        <f t="shared" si="1"/>
        <v/>
      </c>
      <c r="P27" s="15" t="str">
        <f t="shared" si="2"/>
        <v/>
      </c>
      <c r="U27" s="41" t="str">
        <f t="shared" si="3"/>
        <v/>
      </c>
    </row>
    <row r="28" spans="1:25" x14ac:dyDescent="0.3">
      <c r="F28" s="8" t="str">
        <f t="shared" si="0"/>
        <v/>
      </c>
      <c r="K28" s="9" t="str">
        <f t="shared" si="1"/>
        <v/>
      </c>
      <c r="P28" s="15" t="str">
        <f t="shared" si="2"/>
        <v/>
      </c>
      <c r="U28" s="41" t="str">
        <f t="shared" si="3"/>
        <v/>
      </c>
    </row>
    <row r="29" spans="1:25" x14ac:dyDescent="0.3">
      <c r="F29" s="8" t="str">
        <f t="shared" si="0"/>
        <v/>
      </c>
      <c r="K29" s="9" t="str">
        <f t="shared" si="1"/>
        <v/>
      </c>
      <c r="P29" s="15" t="str">
        <f t="shared" si="2"/>
        <v/>
      </c>
      <c r="U29" s="41" t="str">
        <f t="shared" si="3"/>
        <v/>
      </c>
    </row>
    <row r="30" spans="1:25" x14ac:dyDescent="0.3">
      <c r="F30" s="8" t="str">
        <f t="shared" si="0"/>
        <v/>
      </c>
      <c r="K30" s="9" t="str">
        <f t="shared" si="1"/>
        <v/>
      </c>
      <c r="P30" s="15" t="str">
        <f t="shared" si="2"/>
        <v/>
      </c>
      <c r="U30" s="41" t="str">
        <f t="shared" si="3"/>
        <v/>
      </c>
    </row>
    <row r="31" spans="1:25" x14ac:dyDescent="0.3">
      <c r="F31" s="8" t="str">
        <f t="shared" si="0"/>
        <v/>
      </c>
      <c r="K31" s="9" t="str">
        <f t="shared" si="1"/>
        <v/>
      </c>
      <c r="P31" s="15" t="str">
        <f t="shared" si="2"/>
        <v/>
      </c>
      <c r="U31" s="41" t="str">
        <f t="shared" si="3"/>
        <v/>
      </c>
    </row>
    <row r="32" spans="1:25" x14ac:dyDescent="0.3">
      <c r="F32" s="8" t="str">
        <f t="shared" si="0"/>
        <v/>
      </c>
      <c r="K32" s="9" t="str">
        <f t="shared" si="1"/>
        <v/>
      </c>
      <c r="P32" s="15" t="str">
        <f t="shared" si="2"/>
        <v/>
      </c>
      <c r="U32" s="41" t="str">
        <f t="shared" si="3"/>
        <v/>
      </c>
    </row>
    <row r="33" spans="6:21" x14ac:dyDescent="0.3">
      <c r="F33" s="8" t="str">
        <f t="shared" si="0"/>
        <v/>
      </c>
      <c r="K33" s="9" t="str">
        <f t="shared" si="1"/>
        <v/>
      </c>
      <c r="P33" s="15" t="str">
        <f t="shared" si="2"/>
        <v/>
      </c>
      <c r="U33" s="41" t="str">
        <f t="shared" si="3"/>
        <v/>
      </c>
    </row>
    <row r="34" spans="6:21" x14ac:dyDescent="0.3">
      <c r="F34" s="8" t="str">
        <f t="shared" si="0"/>
        <v/>
      </c>
      <c r="K34" s="9" t="str">
        <f t="shared" si="1"/>
        <v/>
      </c>
      <c r="P34" s="15" t="str">
        <f t="shared" si="2"/>
        <v/>
      </c>
      <c r="U34" s="41" t="str">
        <f t="shared" si="3"/>
        <v/>
      </c>
    </row>
    <row r="35" spans="6:21" x14ac:dyDescent="0.3">
      <c r="F35" s="8" t="str">
        <f t="shared" si="0"/>
        <v/>
      </c>
      <c r="K35" s="9" t="str">
        <f t="shared" si="1"/>
        <v/>
      </c>
      <c r="P35" s="15" t="str">
        <f t="shared" si="2"/>
        <v/>
      </c>
      <c r="U35" s="41" t="str">
        <f t="shared" si="3"/>
        <v/>
      </c>
    </row>
    <row r="36" spans="6:21" x14ac:dyDescent="0.3">
      <c r="F36" s="8" t="str">
        <f t="shared" si="0"/>
        <v/>
      </c>
      <c r="K36" s="9" t="str">
        <f t="shared" si="1"/>
        <v/>
      </c>
      <c r="P36" s="15" t="str">
        <f t="shared" si="2"/>
        <v/>
      </c>
      <c r="U36" s="41" t="str">
        <f t="shared" si="3"/>
        <v/>
      </c>
    </row>
    <row r="37" spans="6:21" x14ac:dyDescent="0.3">
      <c r="F37" s="8" t="str">
        <f t="shared" si="0"/>
        <v/>
      </c>
      <c r="K37" s="9" t="str">
        <f t="shared" si="1"/>
        <v/>
      </c>
      <c r="P37" s="15" t="str">
        <f t="shared" si="2"/>
        <v/>
      </c>
      <c r="U37" s="41" t="str">
        <f t="shared" si="3"/>
        <v/>
      </c>
    </row>
    <row r="38" spans="6:21" x14ac:dyDescent="0.3">
      <c r="F38" s="8" t="str">
        <f t="shared" si="0"/>
        <v/>
      </c>
      <c r="K38" s="9" t="str">
        <f t="shared" si="1"/>
        <v/>
      </c>
      <c r="P38" s="15" t="str">
        <f t="shared" si="2"/>
        <v/>
      </c>
      <c r="U38" s="41" t="str">
        <f t="shared" si="3"/>
        <v/>
      </c>
    </row>
    <row r="39" spans="6:21" x14ac:dyDescent="0.3">
      <c r="F39" s="8" t="str">
        <f t="shared" si="0"/>
        <v/>
      </c>
      <c r="K39" s="9" t="str">
        <f t="shared" si="1"/>
        <v/>
      </c>
      <c r="P39" s="15" t="str">
        <f t="shared" si="2"/>
        <v/>
      </c>
      <c r="U39" s="41" t="str">
        <f t="shared" si="3"/>
        <v/>
      </c>
    </row>
    <row r="40" spans="6:21" x14ac:dyDescent="0.3">
      <c r="F40" s="8" t="str">
        <f t="shared" si="0"/>
        <v/>
      </c>
      <c r="K40" s="9" t="str">
        <f t="shared" si="1"/>
        <v/>
      </c>
      <c r="P40" s="15" t="str">
        <f t="shared" si="2"/>
        <v/>
      </c>
      <c r="U40" s="41" t="str">
        <f t="shared" si="3"/>
        <v/>
      </c>
    </row>
    <row r="41" spans="6:21" x14ac:dyDescent="0.3">
      <c r="F41" s="8" t="str">
        <f t="shared" si="0"/>
        <v/>
      </c>
      <c r="K41" s="9" t="str">
        <f t="shared" si="1"/>
        <v/>
      </c>
      <c r="P41" s="15" t="str">
        <f t="shared" si="2"/>
        <v/>
      </c>
      <c r="U41" s="41" t="str">
        <f t="shared" si="3"/>
        <v/>
      </c>
    </row>
    <row r="42" spans="6:21" x14ac:dyDescent="0.3">
      <c r="F42" s="8" t="str">
        <f t="shared" si="0"/>
        <v/>
      </c>
      <c r="K42" s="9" t="str">
        <f t="shared" si="1"/>
        <v/>
      </c>
      <c r="P42" s="15" t="str">
        <f t="shared" si="2"/>
        <v/>
      </c>
      <c r="U42" s="41" t="str">
        <f t="shared" si="3"/>
        <v/>
      </c>
    </row>
    <row r="43" spans="6:21" x14ac:dyDescent="0.3">
      <c r="F43" s="8" t="str">
        <f t="shared" si="0"/>
        <v/>
      </c>
      <c r="K43" s="9" t="str">
        <f t="shared" si="1"/>
        <v/>
      </c>
      <c r="P43" s="15" t="str">
        <f t="shared" si="2"/>
        <v/>
      </c>
      <c r="U43" s="41" t="str">
        <f t="shared" si="3"/>
        <v/>
      </c>
    </row>
    <row r="44" spans="6:21" x14ac:dyDescent="0.3">
      <c r="F44" s="8" t="str">
        <f t="shared" si="0"/>
        <v/>
      </c>
      <c r="K44" s="9" t="str">
        <f t="shared" si="1"/>
        <v/>
      </c>
      <c r="P44" s="15" t="str">
        <f t="shared" si="2"/>
        <v/>
      </c>
      <c r="U44" s="41" t="str">
        <f t="shared" si="3"/>
        <v/>
      </c>
    </row>
    <row r="45" spans="6:21" x14ac:dyDescent="0.3">
      <c r="F45" s="8" t="str">
        <f t="shared" si="0"/>
        <v/>
      </c>
      <c r="K45" s="9" t="str">
        <f t="shared" si="1"/>
        <v/>
      </c>
      <c r="P45" s="15" t="str">
        <f t="shared" si="2"/>
        <v/>
      </c>
      <c r="U45" s="41" t="str">
        <f t="shared" si="3"/>
        <v/>
      </c>
    </row>
    <row r="46" spans="6:21" x14ac:dyDescent="0.3">
      <c r="F46" s="8" t="str">
        <f t="shared" si="0"/>
        <v/>
      </c>
      <c r="K46" s="9" t="str">
        <f t="shared" si="1"/>
        <v/>
      </c>
      <c r="P46" s="15" t="str">
        <f t="shared" si="2"/>
        <v/>
      </c>
      <c r="U46" s="41" t="str">
        <f t="shared" si="3"/>
        <v/>
      </c>
    </row>
    <row r="47" spans="6:21" x14ac:dyDescent="0.3">
      <c r="F47" s="8" t="str">
        <f t="shared" si="0"/>
        <v/>
      </c>
      <c r="K47" s="9" t="str">
        <f t="shared" si="1"/>
        <v/>
      </c>
      <c r="P47" s="15" t="str">
        <f t="shared" si="2"/>
        <v/>
      </c>
      <c r="U47" s="41" t="str">
        <f t="shared" si="3"/>
        <v/>
      </c>
    </row>
    <row r="48" spans="6:21" x14ac:dyDescent="0.3">
      <c r="F48" s="8" t="str">
        <f t="shared" si="0"/>
        <v/>
      </c>
      <c r="K48" s="9" t="str">
        <f t="shared" si="1"/>
        <v/>
      </c>
      <c r="P48" s="15" t="str">
        <f t="shared" si="2"/>
        <v/>
      </c>
      <c r="U48" s="41" t="str">
        <f t="shared" si="3"/>
        <v/>
      </c>
    </row>
    <row r="49" spans="6:21" x14ac:dyDescent="0.3">
      <c r="F49" s="8" t="str">
        <f t="shared" si="0"/>
        <v/>
      </c>
      <c r="K49" s="9" t="str">
        <f t="shared" si="1"/>
        <v/>
      </c>
      <c r="P49" s="15" t="str">
        <f t="shared" si="2"/>
        <v/>
      </c>
      <c r="U49" s="41" t="str">
        <f t="shared" si="3"/>
        <v/>
      </c>
    </row>
    <row r="50" spans="6:21" x14ac:dyDescent="0.3">
      <c r="F50" s="8" t="str">
        <f t="shared" si="0"/>
        <v/>
      </c>
      <c r="K50" s="9" t="str">
        <f t="shared" si="1"/>
        <v/>
      </c>
      <c r="P50" s="15" t="str">
        <f t="shared" si="2"/>
        <v/>
      </c>
      <c r="U50" s="41" t="str">
        <f t="shared" si="3"/>
        <v/>
      </c>
    </row>
    <row r="51" spans="6:21" x14ac:dyDescent="0.3">
      <c r="F51" s="8" t="str">
        <f t="shared" ref="F51:F84" si="4">IF(ISNUMBER(A51),A51,"")</f>
        <v/>
      </c>
      <c r="K51" s="9" t="str">
        <f t="shared" ref="K51:K84" si="5">IF(ISNUMBER(F51),F51,"")</f>
        <v/>
      </c>
      <c r="P51" s="15" t="str">
        <f t="shared" ref="P51:P73" si="6">IF(ISNUMBER(K51),K51,"")</f>
        <v/>
      </c>
      <c r="U51" s="41" t="str">
        <f t="shared" si="3"/>
        <v/>
      </c>
    </row>
    <row r="52" spans="6:21" x14ac:dyDescent="0.3">
      <c r="F52" s="8" t="str">
        <f t="shared" si="4"/>
        <v/>
      </c>
      <c r="K52" s="9" t="str">
        <f t="shared" si="5"/>
        <v/>
      </c>
      <c r="P52" s="15" t="str">
        <f t="shared" si="6"/>
        <v/>
      </c>
      <c r="U52" s="41" t="str">
        <f t="shared" si="3"/>
        <v/>
      </c>
    </row>
    <row r="53" spans="6:21" x14ac:dyDescent="0.3">
      <c r="F53" s="8" t="str">
        <f t="shared" si="4"/>
        <v/>
      </c>
      <c r="K53" s="9" t="str">
        <f t="shared" si="5"/>
        <v/>
      </c>
      <c r="P53" s="15" t="str">
        <f t="shared" si="6"/>
        <v/>
      </c>
      <c r="U53" s="41" t="str">
        <f t="shared" si="3"/>
        <v/>
      </c>
    </row>
    <row r="54" spans="6:21" x14ac:dyDescent="0.3">
      <c r="F54" s="8" t="str">
        <f t="shared" si="4"/>
        <v/>
      </c>
      <c r="K54" s="9" t="str">
        <f t="shared" si="5"/>
        <v/>
      </c>
      <c r="P54" s="15" t="str">
        <f t="shared" si="6"/>
        <v/>
      </c>
      <c r="U54" s="41" t="str">
        <f t="shared" si="3"/>
        <v/>
      </c>
    </row>
    <row r="55" spans="6:21" x14ac:dyDescent="0.3">
      <c r="F55" s="8" t="str">
        <f t="shared" si="4"/>
        <v/>
      </c>
      <c r="K55" s="9" t="str">
        <f t="shared" si="5"/>
        <v/>
      </c>
      <c r="P55" s="15" t="str">
        <f t="shared" si="6"/>
        <v/>
      </c>
      <c r="U55" s="41" t="str">
        <f t="shared" si="3"/>
        <v/>
      </c>
    </row>
    <row r="56" spans="6:21" x14ac:dyDescent="0.3">
      <c r="F56" s="8" t="str">
        <f t="shared" si="4"/>
        <v/>
      </c>
      <c r="K56" s="9" t="str">
        <f t="shared" si="5"/>
        <v/>
      </c>
      <c r="P56" s="15" t="str">
        <f t="shared" si="6"/>
        <v/>
      </c>
      <c r="U56" s="41" t="str">
        <f t="shared" si="3"/>
        <v/>
      </c>
    </row>
    <row r="57" spans="6:21" x14ac:dyDescent="0.3">
      <c r="F57" s="8" t="str">
        <f t="shared" si="4"/>
        <v/>
      </c>
      <c r="K57" s="9" t="str">
        <f t="shared" si="5"/>
        <v/>
      </c>
      <c r="P57" s="15" t="str">
        <f t="shared" si="6"/>
        <v/>
      </c>
      <c r="U57" s="41" t="str">
        <f t="shared" si="3"/>
        <v/>
      </c>
    </row>
    <row r="58" spans="6:21" x14ac:dyDescent="0.3">
      <c r="F58" s="8" t="str">
        <f t="shared" si="4"/>
        <v/>
      </c>
      <c r="K58" s="9" t="str">
        <f t="shared" si="5"/>
        <v/>
      </c>
      <c r="P58" s="15" t="str">
        <f t="shared" si="6"/>
        <v/>
      </c>
      <c r="U58" s="41" t="str">
        <f t="shared" si="3"/>
        <v/>
      </c>
    </row>
    <row r="59" spans="6:21" x14ac:dyDescent="0.3">
      <c r="F59" s="8" t="str">
        <f t="shared" si="4"/>
        <v/>
      </c>
      <c r="K59" s="9" t="str">
        <f t="shared" si="5"/>
        <v/>
      </c>
      <c r="P59" s="15" t="str">
        <f t="shared" si="6"/>
        <v/>
      </c>
      <c r="U59" s="41" t="str">
        <f t="shared" si="3"/>
        <v/>
      </c>
    </row>
    <row r="60" spans="6:21" x14ac:dyDescent="0.3">
      <c r="F60" s="8" t="str">
        <f t="shared" si="4"/>
        <v/>
      </c>
      <c r="K60" s="9" t="str">
        <f t="shared" si="5"/>
        <v/>
      </c>
      <c r="P60" s="15" t="str">
        <f t="shared" si="6"/>
        <v/>
      </c>
      <c r="U60" s="41" t="str">
        <f t="shared" si="3"/>
        <v/>
      </c>
    </row>
    <row r="61" spans="6:21" x14ac:dyDescent="0.3">
      <c r="F61" s="8" t="str">
        <f t="shared" si="4"/>
        <v/>
      </c>
      <c r="K61" s="9" t="str">
        <f t="shared" si="5"/>
        <v/>
      </c>
      <c r="P61" s="15" t="str">
        <f t="shared" si="6"/>
        <v/>
      </c>
      <c r="U61" s="41" t="str">
        <f t="shared" si="3"/>
        <v/>
      </c>
    </row>
    <row r="62" spans="6:21" x14ac:dyDescent="0.3">
      <c r="F62" s="8" t="str">
        <f t="shared" si="4"/>
        <v/>
      </c>
      <c r="K62" s="9" t="str">
        <f t="shared" si="5"/>
        <v/>
      </c>
      <c r="P62" s="15" t="str">
        <f t="shared" si="6"/>
        <v/>
      </c>
      <c r="U62" s="41" t="str">
        <f t="shared" si="3"/>
        <v/>
      </c>
    </row>
    <row r="63" spans="6:21" x14ac:dyDescent="0.3">
      <c r="F63" s="8" t="str">
        <f t="shared" si="4"/>
        <v/>
      </c>
      <c r="K63" s="9" t="str">
        <f t="shared" si="5"/>
        <v/>
      </c>
      <c r="P63" s="15" t="str">
        <f t="shared" si="6"/>
        <v/>
      </c>
      <c r="U63" s="41" t="str">
        <f t="shared" si="3"/>
        <v/>
      </c>
    </row>
    <row r="64" spans="6:21" x14ac:dyDescent="0.3">
      <c r="F64" s="8" t="str">
        <f t="shared" si="4"/>
        <v/>
      </c>
      <c r="K64" s="9" t="str">
        <f t="shared" si="5"/>
        <v/>
      </c>
      <c r="P64" s="15" t="str">
        <f t="shared" si="6"/>
        <v/>
      </c>
      <c r="U64" s="41" t="str">
        <f t="shared" si="3"/>
        <v/>
      </c>
    </row>
    <row r="65" spans="6:21" x14ac:dyDescent="0.3">
      <c r="F65" s="8" t="str">
        <f t="shared" si="4"/>
        <v/>
      </c>
      <c r="K65" s="9" t="str">
        <f t="shared" si="5"/>
        <v/>
      </c>
      <c r="P65" s="15" t="str">
        <f t="shared" si="6"/>
        <v/>
      </c>
      <c r="U65" s="41" t="str">
        <f t="shared" si="3"/>
        <v/>
      </c>
    </row>
    <row r="66" spans="6:21" x14ac:dyDescent="0.3">
      <c r="F66" s="8" t="str">
        <f t="shared" si="4"/>
        <v/>
      </c>
      <c r="K66" s="9" t="str">
        <f t="shared" si="5"/>
        <v/>
      </c>
      <c r="P66" s="15" t="str">
        <f t="shared" si="6"/>
        <v/>
      </c>
      <c r="U66" s="41" t="str">
        <f t="shared" si="3"/>
        <v/>
      </c>
    </row>
    <row r="67" spans="6:21" x14ac:dyDescent="0.3">
      <c r="F67" s="8" t="str">
        <f t="shared" si="4"/>
        <v/>
      </c>
      <c r="K67" s="9" t="str">
        <f t="shared" si="5"/>
        <v/>
      </c>
      <c r="P67" s="15" t="str">
        <f t="shared" si="6"/>
        <v/>
      </c>
      <c r="U67" s="41" t="str">
        <f t="shared" si="3"/>
        <v/>
      </c>
    </row>
    <row r="68" spans="6:21" x14ac:dyDescent="0.3">
      <c r="F68" s="8" t="str">
        <f t="shared" si="4"/>
        <v/>
      </c>
      <c r="K68" s="9" t="str">
        <f t="shared" si="5"/>
        <v/>
      </c>
      <c r="P68" s="15" t="str">
        <f t="shared" si="6"/>
        <v/>
      </c>
      <c r="U68" s="41" t="str">
        <f t="shared" si="3"/>
        <v/>
      </c>
    </row>
    <row r="69" spans="6:21" x14ac:dyDescent="0.3">
      <c r="F69" s="8" t="str">
        <f t="shared" si="4"/>
        <v/>
      </c>
      <c r="K69" s="9" t="str">
        <f t="shared" si="5"/>
        <v/>
      </c>
      <c r="P69" s="15" t="str">
        <f t="shared" si="6"/>
        <v/>
      </c>
      <c r="U69" s="41" t="str">
        <f t="shared" si="3"/>
        <v/>
      </c>
    </row>
    <row r="70" spans="6:21" x14ac:dyDescent="0.3">
      <c r="F70" s="8" t="str">
        <f t="shared" si="4"/>
        <v/>
      </c>
      <c r="K70" s="9" t="str">
        <f t="shared" si="5"/>
        <v/>
      </c>
      <c r="P70" s="15" t="str">
        <f t="shared" si="6"/>
        <v/>
      </c>
      <c r="U70" s="41" t="str">
        <f t="shared" si="3"/>
        <v/>
      </c>
    </row>
    <row r="71" spans="6:21" x14ac:dyDescent="0.3">
      <c r="F71" s="8" t="str">
        <f t="shared" si="4"/>
        <v/>
      </c>
      <c r="K71" s="9" t="str">
        <f t="shared" si="5"/>
        <v/>
      </c>
      <c r="P71" s="15" t="str">
        <f t="shared" si="6"/>
        <v/>
      </c>
      <c r="U71" s="41" t="str">
        <f t="shared" si="3"/>
        <v/>
      </c>
    </row>
    <row r="72" spans="6:21" x14ac:dyDescent="0.3">
      <c r="F72" s="8" t="str">
        <f t="shared" si="4"/>
        <v/>
      </c>
      <c r="K72" s="9" t="str">
        <f t="shared" si="5"/>
        <v/>
      </c>
      <c r="P72" s="15" t="str">
        <f t="shared" si="6"/>
        <v/>
      </c>
      <c r="U72" s="41" t="str">
        <f t="shared" si="3"/>
        <v/>
      </c>
    </row>
    <row r="73" spans="6:21" x14ac:dyDescent="0.3">
      <c r="F73" s="8" t="str">
        <f t="shared" si="4"/>
        <v/>
      </c>
      <c r="K73" s="9" t="str">
        <f t="shared" si="5"/>
        <v/>
      </c>
      <c r="P73" s="15" t="str">
        <f t="shared" si="6"/>
        <v/>
      </c>
      <c r="U73" s="41" t="str">
        <f t="shared" si="3"/>
        <v/>
      </c>
    </row>
    <row r="74" spans="6:21" x14ac:dyDescent="0.3">
      <c r="F74" s="8" t="str">
        <f t="shared" si="4"/>
        <v/>
      </c>
      <c r="K74" s="9" t="str">
        <f t="shared" si="5"/>
        <v/>
      </c>
      <c r="P74" s="15" t="str">
        <f t="shared" ref="P74:P84" si="7">IF(ISNUMBER(K74),K74,"")</f>
        <v/>
      </c>
      <c r="U74" s="41" t="str">
        <f t="shared" si="3"/>
        <v/>
      </c>
    </row>
    <row r="75" spans="6:21" x14ac:dyDescent="0.3">
      <c r="F75" s="8" t="str">
        <f t="shared" si="4"/>
        <v/>
      </c>
      <c r="K75" s="9" t="str">
        <f t="shared" si="5"/>
        <v/>
      </c>
      <c r="P75" s="15" t="str">
        <f t="shared" si="7"/>
        <v/>
      </c>
      <c r="U75" s="41" t="str">
        <f t="shared" si="3"/>
        <v/>
      </c>
    </row>
    <row r="76" spans="6:21" x14ac:dyDescent="0.3">
      <c r="F76" s="8" t="str">
        <f t="shared" si="4"/>
        <v/>
      </c>
      <c r="K76" s="9" t="str">
        <f t="shared" si="5"/>
        <v/>
      </c>
      <c r="P76" s="15" t="str">
        <f t="shared" si="7"/>
        <v/>
      </c>
      <c r="U76" s="41" t="str">
        <f t="shared" si="3"/>
        <v/>
      </c>
    </row>
    <row r="77" spans="6:21" x14ac:dyDescent="0.3">
      <c r="F77" s="8" t="str">
        <f t="shared" si="4"/>
        <v/>
      </c>
      <c r="K77" s="9" t="str">
        <f t="shared" si="5"/>
        <v/>
      </c>
      <c r="P77" s="15" t="str">
        <f t="shared" si="7"/>
        <v/>
      </c>
      <c r="U77" s="41" t="str">
        <f t="shared" si="3"/>
        <v/>
      </c>
    </row>
    <row r="78" spans="6:21" x14ac:dyDescent="0.3">
      <c r="F78" s="8" t="str">
        <f t="shared" si="4"/>
        <v/>
      </c>
      <c r="K78" s="9" t="str">
        <f t="shared" si="5"/>
        <v/>
      </c>
      <c r="P78" s="15" t="str">
        <f t="shared" si="7"/>
        <v/>
      </c>
      <c r="U78" s="41" t="str">
        <f t="shared" si="3"/>
        <v/>
      </c>
    </row>
    <row r="79" spans="6:21" x14ac:dyDescent="0.3">
      <c r="F79" s="8" t="str">
        <f t="shared" si="4"/>
        <v/>
      </c>
      <c r="K79" s="9" t="str">
        <f t="shared" si="5"/>
        <v/>
      </c>
      <c r="P79" s="15" t="str">
        <f t="shared" si="7"/>
        <v/>
      </c>
      <c r="U79" s="41" t="str">
        <f t="shared" si="3"/>
        <v/>
      </c>
    </row>
    <row r="80" spans="6:21" x14ac:dyDescent="0.3">
      <c r="F80" s="8" t="str">
        <f t="shared" si="4"/>
        <v/>
      </c>
      <c r="K80" s="9" t="str">
        <f t="shared" si="5"/>
        <v/>
      </c>
      <c r="P80" s="15" t="str">
        <f t="shared" si="7"/>
        <v/>
      </c>
      <c r="U80" s="41" t="str">
        <f t="shared" si="3"/>
        <v/>
      </c>
    </row>
    <row r="81" spans="6:21" x14ac:dyDescent="0.3">
      <c r="F81" s="8" t="str">
        <f t="shared" si="4"/>
        <v/>
      </c>
      <c r="K81" s="9" t="str">
        <f t="shared" si="5"/>
        <v/>
      </c>
      <c r="P81" s="15" t="str">
        <f t="shared" si="7"/>
        <v/>
      </c>
      <c r="U81" s="41" t="str">
        <f t="shared" si="3"/>
        <v/>
      </c>
    </row>
    <row r="82" spans="6:21" x14ac:dyDescent="0.3">
      <c r="F82" s="8" t="str">
        <f t="shared" si="4"/>
        <v/>
      </c>
      <c r="K82" s="9" t="str">
        <f t="shared" si="5"/>
        <v/>
      </c>
      <c r="P82" s="15" t="str">
        <f t="shared" si="7"/>
        <v/>
      </c>
      <c r="U82" s="41" t="str">
        <f t="shared" si="3"/>
        <v/>
      </c>
    </row>
    <row r="83" spans="6:21" x14ac:dyDescent="0.3">
      <c r="F83" s="8" t="str">
        <f t="shared" si="4"/>
        <v/>
      </c>
      <c r="K83" s="9" t="str">
        <f t="shared" si="5"/>
        <v/>
      </c>
      <c r="P83" s="15" t="str">
        <f t="shared" si="7"/>
        <v/>
      </c>
      <c r="U83" s="41" t="str">
        <f t="shared" si="3"/>
        <v/>
      </c>
    </row>
    <row r="84" spans="6:21" x14ac:dyDescent="0.3">
      <c r="F84" s="8" t="str">
        <f t="shared" si="4"/>
        <v/>
      </c>
      <c r="K84" s="9" t="str">
        <f t="shared" si="5"/>
        <v/>
      </c>
      <c r="P84" s="15" t="str">
        <f t="shared" si="7"/>
        <v/>
      </c>
      <c r="U84" s="41" t="str">
        <f t="shared" si="3"/>
        <v/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80"/>
  <sheetViews>
    <sheetView tabSelected="1" workbookViewId="0">
      <selection activeCell="G37" sqref="G37"/>
    </sheetView>
  </sheetViews>
  <sheetFormatPr defaultColWidth="9.1796875" defaultRowHeight="13" x14ac:dyDescent="0.3"/>
  <cols>
    <col min="1" max="1" width="10.1796875" style="83" bestFit="1" customWidth="1"/>
    <col min="2" max="2" width="17.26953125" style="82" customWidth="1"/>
    <col min="3" max="4" width="9.1796875" style="83"/>
    <col min="5" max="5" width="9.1796875" style="81"/>
    <col min="6" max="6" width="9.1796875" style="86"/>
    <col min="7" max="7" width="9.1796875" style="85"/>
    <col min="8" max="10" width="9.1796875" style="86"/>
    <col min="11" max="11" width="9.1796875" style="89"/>
    <col min="12" max="12" width="12.26953125" style="88" customWidth="1"/>
    <col min="13" max="15" width="9.1796875" style="89"/>
    <col min="16" max="16384" width="9.1796875" style="91"/>
  </cols>
  <sheetData>
    <row r="1" spans="1:39" x14ac:dyDescent="0.3">
      <c r="A1" s="81" t="s">
        <v>19</v>
      </c>
      <c r="F1" s="84" t="s">
        <v>20</v>
      </c>
      <c r="K1" s="87" t="s">
        <v>21</v>
      </c>
      <c r="P1" s="90" t="s">
        <v>94</v>
      </c>
    </row>
    <row r="2" spans="1:39" s="80" customFormat="1" ht="34.5" x14ac:dyDescent="0.25">
      <c r="A2" s="77" t="s">
        <v>146</v>
      </c>
      <c r="B2" s="77" t="s">
        <v>147</v>
      </c>
      <c r="C2" s="77" t="s">
        <v>148</v>
      </c>
      <c r="D2" s="77" t="s">
        <v>150</v>
      </c>
      <c r="E2" s="77" t="s">
        <v>149</v>
      </c>
      <c r="F2" s="78" t="s">
        <v>146</v>
      </c>
      <c r="G2" s="78" t="s">
        <v>147</v>
      </c>
      <c r="H2" s="78" t="s">
        <v>148</v>
      </c>
      <c r="I2" s="78" t="s">
        <v>150</v>
      </c>
      <c r="J2" s="78" t="s">
        <v>149</v>
      </c>
      <c r="K2" s="79" t="s">
        <v>146</v>
      </c>
      <c r="L2" s="79" t="s">
        <v>147</v>
      </c>
      <c r="M2" s="79" t="s">
        <v>148</v>
      </c>
      <c r="N2" s="79" t="s">
        <v>150</v>
      </c>
      <c r="O2" s="79" t="s">
        <v>149</v>
      </c>
    </row>
    <row r="3" spans="1:39" x14ac:dyDescent="0.3">
      <c r="A3" s="95">
        <v>31955</v>
      </c>
      <c r="B3" s="96" t="s">
        <v>42</v>
      </c>
      <c r="C3" s="97">
        <v>1.95</v>
      </c>
      <c r="D3" s="98">
        <v>68.569999999999993</v>
      </c>
      <c r="E3" s="99">
        <f>D3+C3</f>
        <v>70.52</v>
      </c>
      <c r="F3" s="100">
        <f t="shared" ref="F3:F34" si="0">IF(ISNUMBER(A3),A3,"")</f>
        <v>31955</v>
      </c>
      <c r="G3" s="85" t="s">
        <v>23</v>
      </c>
      <c r="H3" s="86">
        <v>6.1</v>
      </c>
      <c r="I3" s="86">
        <v>53.49</v>
      </c>
      <c r="J3" s="101">
        <f t="shared" ref="J3:J22" si="1">I3+H3</f>
        <v>59.59</v>
      </c>
      <c r="K3" s="102">
        <f>IF(ISNUMBER(F3),F3,"")</f>
        <v>31955</v>
      </c>
      <c r="L3" s="88" t="s">
        <v>25</v>
      </c>
      <c r="M3" s="103">
        <v>6.7</v>
      </c>
      <c r="N3" s="89">
        <v>49.5</v>
      </c>
      <c r="O3" s="104">
        <f>N3+M3</f>
        <v>56.2</v>
      </c>
      <c r="P3" s="92" t="s">
        <v>151</v>
      </c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4"/>
    </row>
    <row r="4" spans="1:39" x14ac:dyDescent="0.3">
      <c r="A4" s="95">
        <v>33016</v>
      </c>
      <c r="B4" s="96" t="s">
        <v>42</v>
      </c>
      <c r="C4" s="97">
        <v>0.74</v>
      </c>
      <c r="D4" s="98">
        <v>68.569999999999993</v>
      </c>
      <c r="E4" s="99">
        <f>D4+C4</f>
        <v>69.309999999999988</v>
      </c>
      <c r="F4" s="100">
        <f t="shared" si="0"/>
        <v>33016</v>
      </c>
      <c r="G4" s="85" t="s">
        <v>58</v>
      </c>
      <c r="H4" s="86">
        <v>0.71</v>
      </c>
      <c r="I4" s="86">
        <f>53.49+3.07+2.1</f>
        <v>58.660000000000004</v>
      </c>
      <c r="J4" s="101">
        <f t="shared" si="1"/>
        <v>59.370000000000005</v>
      </c>
      <c r="K4" s="102">
        <f>IF(ISNUMBER(F4),F4,"")</f>
        <v>33016</v>
      </c>
      <c r="L4" s="88" t="s">
        <v>59</v>
      </c>
      <c r="M4" s="103">
        <v>0.42</v>
      </c>
      <c r="N4" s="89">
        <f>49.5+3.74+2.29</f>
        <v>55.53</v>
      </c>
      <c r="O4" s="104">
        <f>N4+M4</f>
        <v>55.95</v>
      </c>
      <c r="P4" s="92" t="s">
        <v>152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4"/>
    </row>
    <row r="5" spans="1:39" x14ac:dyDescent="0.3">
      <c r="A5" s="95">
        <v>34902</v>
      </c>
      <c r="B5" s="96" t="s">
        <v>56</v>
      </c>
      <c r="C5" s="97">
        <v>10.15</v>
      </c>
      <c r="D5" s="105">
        <v>57.03</v>
      </c>
      <c r="E5" s="99">
        <f>D5+C5</f>
        <v>67.180000000000007</v>
      </c>
      <c r="F5" s="100">
        <f t="shared" si="0"/>
        <v>34902</v>
      </c>
      <c r="G5" s="85" t="s">
        <v>58</v>
      </c>
      <c r="H5" s="86">
        <v>0.57999999999999996</v>
      </c>
      <c r="I5" s="86">
        <f>53.49+3.07+2.1</f>
        <v>58.660000000000004</v>
      </c>
      <c r="J5" s="101">
        <f t="shared" si="1"/>
        <v>59.24</v>
      </c>
      <c r="K5" s="102">
        <f>IF(ISNUMBER(F5),F5,"")</f>
        <v>34902</v>
      </c>
      <c r="L5" s="88" t="s">
        <v>59</v>
      </c>
      <c r="M5" s="103">
        <v>0.22</v>
      </c>
      <c r="N5" s="89">
        <f>49.5+3.74+2.29</f>
        <v>55.53</v>
      </c>
      <c r="O5" s="104">
        <f>N5+M5</f>
        <v>55.75</v>
      </c>
      <c r="P5" s="92" t="s">
        <v>153</v>
      </c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4"/>
    </row>
    <row r="6" spans="1:39" x14ac:dyDescent="0.3">
      <c r="A6" s="95">
        <v>36349</v>
      </c>
      <c r="B6" s="96" t="s">
        <v>22</v>
      </c>
      <c r="C6" s="97">
        <v>10.039999999999999</v>
      </c>
      <c r="D6" s="98">
        <v>57.03</v>
      </c>
      <c r="E6" s="99">
        <f>D6+C6</f>
        <v>67.069999999999993</v>
      </c>
      <c r="F6" s="100">
        <f t="shared" si="0"/>
        <v>36349</v>
      </c>
      <c r="G6" s="85" t="s">
        <v>58</v>
      </c>
      <c r="H6" s="86">
        <v>0.56000000000000005</v>
      </c>
      <c r="I6" s="86">
        <f>53.49+3.07+2.1</f>
        <v>58.660000000000004</v>
      </c>
      <c r="J6" s="101">
        <f t="shared" si="1"/>
        <v>59.220000000000006</v>
      </c>
      <c r="K6" s="102">
        <v>35658</v>
      </c>
      <c r="L6" s="88" t="s">
        <v>59</v>
      </c>
      <c r="M6" s="103">
        <v>0.11</v>
      </c>
      <c r="N6" s="89">
        <f>49.5+3.74+2.29</f>
        <v>55.53</v>
      </c>
      <c r="O6" s="104">
        <f>N6+M6</f>
        <v>55.64</v>
      </c>
      <c r="P6" s="92" t="s">
        <v>154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4"/>
    </row>
    <row r="7" spans="1:39" x14ac:dyDescent="0.3">
      <c r="A7" s="95">
        <v>36716</v>
      </c>
      <c r="B7" s="96" t="s">
        <v>155</v>
      </c>
      <c r="C7" s="97">
        <v>9.1</v>
      </c>
      <c r="D7" s="98">
        <v>57.96</v>
      </c>
      <c r="E7" s="99">
        <f>D7+C7</f>
        <v>67.06</v>
      </c>
      <c r="F7" s="100">
        <f t="shared" si="0"/>
        <v>36716</v>
      </c>
      <c r="G7" s="85" t="s">
        <v>23</v>
      </c>
      <c r="H7" s="86">
        <v>5.75</v>
      </c>
      <c r="I7" s="86">
        <v>53.49</v>
      </c>
      <c r="J7" s="101">
        <f t="shared" si="1"/>
        <v>59.24</v>
      </c>
      <c r="K7" s="102">
        <f t="shared" ref="K7:K38" si="2">IF(ISNUMBER(F7),F7,"")</f>
        <v>36716</v>
      </c>
      <c r="L7" s="88">
        <v>3</v>
      </c>
      <c r="M7" s="103">
        <v>55.18</v>
      </c>
      <c r="N7" s="89">
        <v>0</v>
      </c>
      <c r="O7" s="104">
        <f>N7+M7</f>
        <v>55.18</v>
      </c>
      <c r="P7" s="106" t="s">
        <v>156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8"/>
    </row>
    <row r="8" spans="1:39" x14ac:dyDescent="0.3">
      <c r="A8" s="95">
        <v>37827</v>
      </c>
      <c r="B8" s="96" t="s">
        <v>74</v>
      </c>
      <c r="C8" s="97">
        <v>9.0500000000000007</v>
      </c>
      <c r="D8" s="98"/>
      <c r="E8" s="99"/>
      <c r="F8" s="100">
        <f t="shared" si="0"/>
        <v>37827</v>
      </c>
      <c r="G8" s="109" t="s">
        <v>80</v>
      </c>
      <c r="H8" s="109">
        <v>5.65</v>
      </c>
      <c r="I8" s="86">
        <v>53.49</v>
      </c>
      <c r="J8" s="101">
        <f t="shared" si="1"/>
        <v>59.14</v>
      </c>
      <c r="K8" s="102">
        <f t="shared" si="2"/>
        <v>37827</v>
      </c>
      <c r="L8" s="110" t="s">
        <v>93</v>
      </c>
      <c r="M8" s="111" t="s">
        <v>71</v>
      </c>
      <c r="N8" s="88" t="s">
        <v>72</v>
      </c>
      <c r="O8" s="112" t="s">
        <v>73</v>
      </c>
      <c r="P8" s="90" t="s">
        <v>92</v>
      </c>
    </row>
    <row r="9" spans="1:39" x14ac:dyDescent="0.3">
      <c r="A9" s="95">
        <v>38196</v>
      </c>
      <c r="B9" s="96" t="s">
        <v>157</v>
      </c>
      <c r="C9" s="97">
        <v>8.09</v>
      </c>
      <c r="D9" s="98">
        <v>57.96</v>
      </c>
      <c r="E9" s="99">
        <f t="shared" ref="E9:E20" si="3">D9+C9</f>
        <v>66.05</v>
      </c>
      <c r="F9" s="100">
        <f t="shared" si="0"/>
        <v>38196</v>
      </c>
      <c r="G9" s="85" t="s">
        <v>23</v>
      </c>
      <c r="H9" s="86">
        <v>5.65</v>
      </c>
      <c r="I9" s="86">
        <v>53.49</v>
      </c>
      <c r="J9" s="101">
        <f t="shared" si="1"/>
        <v>59.14</v>
      </c>
      <c r="K9" s="102">
        <f t="shared" si="2"/>
        <v>38196</v>
      </c>
      <c r="L9" s="88" t="s">
        <v>60</v>
      </c>
      <c r="M9" s="103">
        <v>1.93</v>
      </c>
      <c r="O9" s="104"/>
    </row>
    <row r="10" spans="1:39" x14ac:dyDescent="0.3">
      <c r="A10" s="95">
        <v>38559</v>
      </c>
      <c r="B10" s="96" t="s">
        <v>61</v>
      </c>
      <c r="C10" s="97">
        <v>9.0299999999999994</v>
      </c>
      <c r="D10" s="98">
        <v>57.03</v>
      </c>
      <c r="E10" s="99">
        <f t="shared" si="3"/>
        <v>66.06</v>
      </c>
      <c r="F10" s="100">
        <f t="shared" si="0"/>
        <v>38559</v>
      </c>
      <c r="G10" s="85" t="s">
        <v>23</v>
      </c>
      <c r="H10" s="86">
        <v>5.71</v>
      </c>
      <c r="I10" s="86">
        <v>53.49</v>
      </c>
      <c r="J10" s="101">
        <f t="shared" si="1"/>
        <v>59.2</v>
      </c>
      <c r="K10" s="102">
        <f t="shared" si="2"/>
        <v>38559</v>
      </c>
      <c r="L10" s="88" t="s">
        <v>60</v>
      </c>
      <c r="M10" s="103">
        <v>1.96</v>
      </c>
      <c r="O10" s="104"/>
    </row>
    <row r="11" spans="1:39" x14ac:dyDescent="0.3">
      <c r="A11" s="95">
        <v>38921</v>
      </c>
      <c r="B11" s="96" t="s">
        <v>78</v>
      </c>
      <c r="C11" s="97">
        <v>8.09</v>
      </c>
      <c r="D11" s="98">
        <v>57.96</v>
      </c>
      <c r="E11" s="99">
        <f t="shared" si="3"/>
        <v>66.05</v>
      </c>
      <c r="F11" s="100">
        <f t="shared" si="0"/>
        <v>38921</v>
      </c>
      <c r="G11" s="109" t="s">
        <v>23</v>
      </c>
      <c r="H11" s="86">
        <v>5.74</v>
      </c>
      <c r="I11" s="86">
        <v>53.49</v>
      </c>
      <c r="J11" s="101">
        <f t="shared" si="1"/>
        <v>59.230000000000004</v>
      </c>
      <c r="K11" s="102">
        <f t="shared" si="2"/>
        <v>38921</v>
      </c>
      <c r="L11" s="88" t="s">
        <v>60</v>
      </c>
      <c r="M11" s="103">
        <v>1.91</v>
      </c>
      <c r="O11" s="104"/>
      <c r="P11" s="90" t="s">
        <v>79</v>
      </c>
    </row>
    <row r="12" spans="1:39" x14ac:dyDescent="0.3">
      <c r="A12" s="95">
        <v>38989</v>
      </c>
      <c r="B12" s="96" t="s">
        <v>57</v>
      </c>
      <c r="C12" s="97">
        <v>8.09</v>
      </c>
      <c r="D12" s="98">
        <v>57.96</v>
      </c>
      <c r="E12" s="99">
        <f t="shared" si="3"/>
        <v>66.05</v>
      </c>
      <c r="F12" s="100">
        <f t="shared" si="0"/>
        <v>38989</v>
      </c>
      <c r="G12" s="85" t="s">
        <v>23</v>
      </c>
      <c r="H12" s="86">
        <v>5.72</v>
      </c>
      <c r="I12" s="86">
        <v>53.49</v>
      </c>
      <c r="J12" s="101">
        <f t="shared" si="1"/>
        <v>59.21</v>
      </c>
      <c r="K12" s="102">
        <f t="shared" si="2"/>
        <v>38989</v>
      </c>
      <c r="L12" s="88" t="s">
        <v>60</v>
      </c>
      <c r="M12" s="103">
        <v>1.7</v>
      </c>
    </row>
    <row r="13" spans="1:39" x14ac:dyDescent="0.3">
      <c r="A13" s="95">
        <v>40013</v>
      </c>
      <c r="B13" s="96" t="s">
        <v>61</v>
      </c>
      <c r="C13" s="97">
        <v>8.93</v>
      </c>
      <c r="D13" s="98">
        <v>57.03</v>
      </c>
      <c r="E13" s="99">
        <f t="shared" si="3"/>
        <v>65.960000000000008</v>
      </c>
      <c r="F13" s="100">
        <f t="shared" si="0"/>
        <v>40013</v>
      </c>
      <c r="G13" s="85" t="s">
        <v>23</v>
      </c>
      <c r="H13" s="86">
        <v>5.43</v>
      </c>
      <c r="I13" s="86">
        <v>53.49</v>
      </c>
      <c r="J13" s="101">
        <f t="shared" si="1"/>
        <v>58.92</v>
      </c>
      <c r="K13" s="102">
        <f t="shared" si="2"/>
        <v>40013</v>
      </c>
      <c r="L13" s="88">
        <v>31</v>
      </c>
      <c r="M13" s="103">
        <v>4.5</v>
      </c>
      <c r="N13" s="89">
        <v>51.28</v>
      </c>
      <c r="O13" s="104">
        <f t="shared" ref="O13:O23" si="4">N13+M13</f>
        <v>55.78</v>
      </c>
    </row>
    <row r="14" spans="1:39" x14ac:dyDescent="0.3">
      <c r="A14" s="95">
        <v>40086</v>
      </c>
      <c r="B14" s="96" t="s">
        <v>57</v>
      </c>
      <c r="C14" s="97">
        <v>8.1</v>
      </c>
      <c r="D14" s="98">
        <v>57.96</v>
      </c>
      <c r="E14" s="105">
        <f t="shared" si="3"/>
        <v>66.06</v>
      </c>
      <c r="F14" s="100">
        <f t="shared" si="0"/>
        <v>40086</v>
      </c>
      <c r="G14" s="109" t="s">
        <v>23</v>
      </c>
      <c r="H14" s="86">
        <v>5.25</v>
      </c>
      <c r="I14" s="86">
        <v>53.49</v>
      </c>
      <c r="J14" s="113">
        <f t="shared" si="1"/>
        <v>58.74</v>
      </c>
      <c r="K14" s="102">
        <f t="shared" si="2"/>
        <v>40086</v>
      </c>
      <c r="L14" s="88">
        <v>31</v>
      </c>
      <c r="M14" s="103">
        <v>4.5</v>
      </c>
      <c r="N14" s="89">
        <v>51.28</v>
      </c>
      <c r="O14" s="104">
        <f t="shared" si="4"/>
        <v>55.78</v>
      </c>
      <c r="P14" s="114" t="s">
        <v>99</v>
      </c>
    </row>
    <row r="15" spans="1:39" x14ac:dyDescent="0.3">
      <c r="A15" s="95">
        <v>40382</v>
      </c>
      <c r="B15" s="96" t="s">
        <v>57</v>
      </c>
      <c r="C15" s="98">
        <v>8.01</v>
      </c>
      <c r="D15" s="98">
        <v>57.96</v>
      </c>
      <c r="E15" s="105">
        <f t="shared" si="3"/>
        <v>65.97</v>
      </c>
      <c r="F15" s="100">
        <f t="shared" si="0"/>
        <v>40382</v>
      </c>
      <c r="G15" s="109" t="s">
        <v>23</v>
      </c>
      <c r="H15" s="86">
        <v>5.14</v>
      </c>
      <c r="I15" s="86">
        <v>53.49</v>
      </c>
      <c r="J15" s="113">
        <f t="shared" si="1"/>
        <v>58.63</v>
      </c>
      <c r="K15" s="102">
        <f t="shared" si="2"/>
        <v>40382</v>
      </c>
      <c r="L15" s="88">
        <v>31</v>
      </c>
      <c r="M15" s="89">
        <v>4.43</v>
      </c>
      <c r="N15" s="89">
        <v>51.28</v>
      </c>
      <c r="O15" s="115">
        <f t="shared" si="4"/>
        <v>55.71</v>
      </c>
    </row>
    <row r="16" spans="1:39" x14ac:dyDescent="0.3">
      <c r="A16" s="95">
        <v>40800</v>
      </c>
      <c r="B16" s="96" t="s">
        <v>61</v>
      </c>
      <c r="C16" s="97">
        <v>9</v>
      </c>
      <c r="D16" s="98">
        <v>57.03</v>
      </c>
      <c r="E16" s="105">
        <f t="shared" si="3"/>
        <v>66.03</v>
      </c>
      <c r="F16" s="100">
        <f t="shared" si="0"/>
        <v>40800</v>
      </c>
      <c r="G16" s="109" t="s">
        <v>23</v>
      </c>
      <c r="H16" s="86">
        <v>5.13</v>
      </c>
      <c r="I16" s="86">
        <v>53.49</v>
      </c>
      <c r="J16" s="113">
        <f t="shared" si="1"/>
        <v>58.620000000000005</v>
      </c>
      <c r="K16" s="102">
        <f t="shared" si="2"/>
        <v>40800</v>
      </c>
      <c r="L16" s="88">
        <v>33</v>
      </c>
      <c r="M16" s="89">
        <v>4.43</v>
      </c>
      <c r="N16" s="103">
        <v>50.385238047660089</v>
      </c>
      <c r="O16" s="116">
        <f t="shared" si="4"/>
        <v>54.815238047660088</v>
      </c>
      <c r="P16" s="117" t="s">
        <v>114</v>
      </c>
    </row>
    <row r="17" spans="1:16" x14ac:dyDescent="0.3">
      <c r="A17" s="95">
        <v>41198</v>
      </c>
      <c r="B17" s="96" t="s">
        <v>57</v>
      </c>
      <c r="C17" s="98">
        <v>7.97</v>
      </c>
      <c r="D17" s="98">
        <v>57.96</v>
      </c>
      <c r="E17" s="99">
        <f t="shared" si="3"/>
        <v>65.930000000000007</v>
      </c>
      <c r="F17" s="100">
        <f t="shared" si="0"/>
        <v>41198</v>
      </c>
      <c r="G17" s="109" t="s">
        <v>23</v>
      </c>
      <c r="H17" s="86">
        <v>5.1100000000000003</v>
      </c>
      <c r="I17" s="86">
        <v>53.49</v>
      </c>
      <c r="J17" s="118">
        <f t="shared" si="1"/>
        <v>58.6</v>
      </c>
      <c r="K17" s="102">
        <f t="shared" si="2"/>
        <v>41198</v>
      </c>
      <c r="L17" s="88">
        <v>33</v>
      </c>
      <c r="M17" s="89">
        <v>4.37</v>
      </c>
      <c r="N17" s="103">
        <v>50.385238047660089</v>
      </c>
      <c r="O17" s="104">
        <f t="shared" si="4"/>
        <v>54.755238047660086</v>
      </c>
    </row>
    <row r="18" spans="1:16" x14ac:dyDescent="0.3">
      <c r="A18" s="95">
        <v>41463</v>
      </c>
      <c r="B18" s="96">
        <v>10</v>
      </c>
      <c r="C18" s="98">
        <v>18.55</v>
      </c>
      <c r="D18" s="98">
        <f>57.03-9.74</f>
        <v>47.29</v>
      </c>
      <c r="E18" s="99">
        <f t="shared" si="3"/>
        <v>65.84</v>
      </c>
      <c r="F18" s="100">
        <f t="shared" si="0"/>
        <v>41463</v>
      </c>
      <c r="G18" s="85">
        <v>20</v>
      </c>
      <c r="H18" s="86">
        <v>14.71</v>
      </c>
      <c r="I18" s="119">
        <f>53.49-9.69</f>
        <v>43.800000000000004</v>
      </c>
      <c r="J18" s="118">
        <f t="shared" si="1"/>
        <v>58.510000000000005</v>
      </c>
      <c r="K18" s="120">
        <f t="shared" si="2"/>
        <v>41463</v>
      </c>
      <c r="L18" s="110" t="s">
        <v>123</v>
      </c>
      <c r="M18" s="121">
        <v>4.29</v>
      </c>
      <c r="N18" s="122">
        <v>50.385238047660089</v>
      </c>
      <c r="O18" s="116">
        <f t="shared" si="4"/>
        <v>54.675238047660088</v>
      </c>
    </row>
    <row r="19" spans="1:16" x14ac:dyDescent="0.3">
      <c r="A19" s="95">
        <v>41832</v>
      </c>
      <c r="B19" s="96" t="s">
        <v>57</v>
      </c>
      <c r="C19" s="98">
        <v>7.88</v>
      </c>
      <c r="D19" s="98">
        <v>57.96</v>
      </c>
      <c r="E19" s="99">
        <f t="shared" si="3"/>
        <v>65.84</v>
      </c>
      <c r="F19" s="123">
        <f t="shared" si="0"/>
        <v>41832</v>
      </c>
      <c r="G19" s="109" t="s">
        <v>23</v>
      </c>
      <c r="H19" s="124">
        <v>5.0199999999999996</v>
      </c>
      <c r="I19" s="124">
        <v>53.49</v>
      </c>
      <c r="J19" s="118">
        <f t="shared" si="1"/>
        <v>58.510000000000005</v>
      </c>
      <c r="K19" s="120">
        <f t="shared" si="2"/>
        <v>41832</v>
      </c>
      <c r="L19" s="110" t="s">
        <v>128</v>
      </c>
      <c r="M19" s="122">
        <v>4.0999999999999996</v>
      </c>
      <c r="N19" s="121">
        <v>51.06</v>
      </c>
      <c r="O19" s="116">
        <f t="shared" si="4"/>
        <v>55.160000000000004</v>
      </c>
      <c r="P19" s="125" t="s">
        <v>129</v>
      </c>
    </row>
    <row r="20" spans="1:16" x14ac:dyDescent="0.3">
      <c r="A20" s="95">
        <v>42201</v>
      </c>
      <c r="B20" s="96" t="s">
        <v>57</v>
      </c>
      <c r="C20" s="98">
        <v>7.89</v>
      </c>
      <c r="D20" s="98">
        <v>57.96</v>
      </c>
      <c r="E20" s="99">
        <f t="shared" si="3"/>
        <v>65.849999999999994</v>
      </c>
      <c r="F20" s="123">
        <f t="shared" si="0"/>
        <v>42201</v>
      </c>
      <c r="G20" s="109" t="s">
        <v>23</v>
      </c>
      <c r="H20" s="124">
        <v>5.04</v>
      </c>
      <c r="I20" s="124">
        <v>53.49</v>
      </c>
      <c r="J20" s="126">
        <f t="shared" si="1"/>
        <v>58.53</v>
      </c>
      <c r="K20" s="120">
        <f t="shared" si="2"/>
        <v>42201</v>
      </c>
      <c r="L20" s="110" t="s">
        <v>128</v>
      </c>
      <c r="M20" s="127">
        <v>4.17</v>
      </c>
      <c r="N20" s="121">
        <v>51.06</v>
      </c>
      <c r="O20" s="128">
        <f t="shared" si="4"/>
        <v>55.230000000000004</v>
      </c>
    </row>
    <row r="21" spans="1:16" x14ac:dyDescent="0.3">
      <c r="A21" s="129">
        <v>42629</v>
      </c>
      <c r="B21" s="130" t="s">
        <v>97</v>
      </c>
      <c r="E21" s="131"/>
      <c r="F21" s="123">
        <f t="shared" si="0"/>
        <v>42629</v>
      </c>
      <c r="G21" s="85" t="s">
        <v>23</v>
      </c>
      <c r="H21" s="86">
        <v>5.1100000000000003</v>
      </c>
      <c r="I21" s="124">
        <v>53.49</v>
      </c>
      <c r="J21" s="126">
        <f t="shared" si="1"/>
        <v>58.6</v>
      </c>
      <c r="K21" s="120">
        <f t="shared" si="2"/>
        <v>42629</v>
      </c>
      <c r="L21" s="110" t="s">
        <v>128</v>
      </c>
      <c r="M21" s="127">
        <v>4.25</v>
      </c>
      <c r="N21" s="121">
        <v>51.06</v>
      </c>
      <c r="O21" s="128">
        <f t="shared" si="4"/>
        <v>55.31</v>
      </c>
      <c r="P21" s="90" t="s">
        <v>139</v>
      </c>
    </row>
    <row r="22" spans="1:16" x14ac:dyDescent="0.3">
      <c r="A22" s="129">
        <v>42655</v>
      </c>
      <c r="B22" s="130" t="s">
        <v>158</v>
      </c>
      <c r="C22" s="83">
        <v>8.93</v>
      </c>
      <c r="D22" s="132">
        <v>57.03</v>
      </c>
      <c r="E22" s="133">
        <f>D22+C22</f>
        <v>65.960000000000008</v>
      </c>
      <c r="F22" s="123">
        <f t="shared" si="0"/>
        <v>42655</v>
      </c>
      <c r="G22" s="85" t="s">
        <v>23</v>
      </c>
      <c r="H22" s="119">
        <v>5.0999999999999996</v>
      </c>
      <c r="I22" s="124">
        <v>53.49</v>
      </c>
      <c r="J22" s="126">
        <f t="shared" si="1"/>
        <v>58.59</v>
      </c>
      <c r="K22" s="120">
        <f t="shared" si="2"/>
        <v>42655</v>
      </c>
      <c r="L22" s="110" t="s">
        <v>128</v>
      </c>
      <c r="M22" s="134">
        <v>4.3</v>
      </c>
      <c r="N22" s="121">
        <v>51.06</v>
      </c>
      <c r="O22" s="128">
        <f t="shared" si="4"/>
        <v>55.36</v>
      </c>
      <c r="P22" s="90" t="s">
        <v>141</v>
      </c>
    </row>
    <row r="23" spans="1:16" x14ac:dyDescent="0.3">
      <c r="A23" s="129">
        <v>43691</v>
      </c>
      <c r="B23" s="130" t="s">
        <v>97</v>
      </c>
      <c r="F23" s="123">
        <f t="shared" si="0"/>
        <v>43691</v>
      </c>
      <c r="G23" s="109" t="s">
        <v>97</v>
      </c>
      <c r="J23" s="126"/>
      <c r="K23" s="120">
        <f t="shared" si="2"/>
        <v>43691</v>
      </c>
      <c r="L23" s="110" t="s">
        <v>128</v>
      </c>
      <c r="M23" s="127">
        <v>4.1500000000000004</v>
      </c>
      <c r="N23" s="121">
        <v>51.06</v>
      </c>
      <c r="O23" s="128">
        <f t="shared" si="4"/>
        <v>55.21</v>
      </c>
      <c r="P23" s="90" t="s">
        <v>145</v>
      </c>
    </row>
    <row r="24" spans="1:16" x14ac:dyDescent="0.3">
      <c r="A24" s="129">
        <v>43747</v>
      </c>
      <c r="B24" s="130" t="s">
        <v>61</v>
      </c>
      <c r="C24" s="83">
        <v>8.82</v>
      </c>
      <c r="D24" s="83">
        <v>57.03</v>
      </c>
      <c r="E24" s="131">
        <f>D24+C24</f>
        <v>65.849999999999994</v>
      </c>
      <c r="F24" s="100">
        <f t="shared" si="0"/>
        <v>43747</v>
      </c>
      <c r="G24" s="85" t="s">
        <v>23</v>
      </c>
      <c r="H24" s="86">
        <v>4.83</v>
      </c>
      <c r="I24" s="86">
        <v>53.49</v>
      </c>
      <c r="J24" s="126">
        <f>I24+H24</f>
        <v>58.32</v>
      </c>
      <c r="K24" s="102">
        <f t="shared" si="2"/>
        <v>43747</v>
      </c>
      <c r="L24" s="88" t="s">
        <v>97</v>
      </c>
      <c r="O24" s="128"/>
      <c r="P24" s="91" t="s">
        <v>159</v>
      </c>
    </row>
    <row r="25" spans="1:16" x14ac:dyDescent="0.3">
      <c r="A25" s="129">
        <v>44776</v>
      </c>
      <c r="B25" s="130" t="s">
        <v>57</v>
      </c>
      <c r="C25" s="83">
        <v>7.65</v>
      </c>
      <c r="D25" s="83">
        <v>57.96</v>
      </c>
      <c r="E25" s="133">
        <f>D25+C25</f>
        <v>65.61</v>
      </c>
      <c r="F25" s="100">
        <f t="shared" si="0"/>
        <v>44776</v>
      </c>
      <c r="G25" s="85" t="s">
        <v>23</v>
      </c>
      <c r="H25" s="119">
        <v>4.9000000000000004</v>
      </c>
      <c r="I25" s="86">
        <v>53.49</v>
      </c>
      <c r="J25" s="142">
        <f>I25+H25</f>
        <v>58.39</v>
      </c>
      <c r="K25" s="102">
        <f t="shared" si="2"/>
        <v>44776</v>
      </c>
      <c r="L25" s="88" t="s">
        <v>97</v>
      </c>
      <c r="O25" s="128"/>
      <c r="P25" s="91" t="s">
        <v>169</v>
      </c>
    </row>
    <row r="26" spans="1:16" x14ac:dyDescent="0.3">
      <c r="A26" s="129">
        <v>44845</v>
      </c>
      <c r="B26" s="130" t="s">
        <v>57</v>
      </c>
      <c r="C26" s="83">
        <v>7.82</v>
      </c>
      <c r="D26" s="83">
        <v>57.96</v>
      </c>
      <c r="E26" s="133">
        <f>D26+C26</f>
        <v>65.78</v>
      </c>
      <c r="F26" s="100">
        <f t="shared" si="0"/>
        <v>44845</v>
      </c>
      <c r="G26" s="85">
        <v>20</v>
      </c>
      <c r="H26" s="86">
        <v>14.63</v>
      </c>
      <c r="I26" s="119">
        <v>43.8</v>
      </c>
      <c r="J26" s="142">
        <f>I26+H26</f>
        <v>58.43</v>
      </c>
      <c r="K26" s="102">
        <f t="shared" si="2"/>
        <v>44845</v>
      </c>
      <c r="L26" s="88" t="s">
        <v>97</v>
      </c>
      <c r="O26" s="128"/>
      <c r="P26" s="91" t="s">
        <v>168</v>
      </c>
    </row>
    <row r="27" spans="1:16" x14ac:dyDescent="0.3">
      <c r="A27" s="129">
        <v>45203</v>
      </c>
      <c r="B27" s="130" t="s">
        <v>57</v>
      </c>
      <c r="C27" s="83">
        <v>7.89</v>
      </c>
      <c r="D27" s="83">
        <v>57.96</v>
      </c>
      <c r="E27" s="144">
        <f>D27+C27</f>
        <v>65.849999999999994</v>
      </c>
      <c r="F27" s="100">
        <f t="shared" si="0"/>
        <v>45203</v>
      </c>
      <c r="G27" s="85" t="s">
        <v>23</v>
      </c>
      <c r="H27" s="86">
        <v>4.54</v>
      </c>
      <c r="I27" s="86">
        <v>53.49</v>
      </c>
      <c r="J27" s="113">
        <f>I27+H27</f>
        <v>58.03</v>
      </c>
      <c r="K27" s="102">
        <f t="shared" si="2"/>
        <v>45203</v>
      </c>
      <c r="L27" s="88">
        <v>3</v>
      </c>
      <c r="M27" s="89">
        <v>54.44</v>
      </c>
      <c r="N27" s="89">
        <v>0</v>
      </c>
      <c r="O27" s="116">
        <f>N27+M27</f>
        <v>54.44</v>
      </c>
    </row>
    <row r="28" spans="1:16" x14ac:dyDescent="0.3">
      <c r="F28" s="100" t="str">
        <f t="shared" si="0"/>
        <v/>
      </c>
      <c r="K28" s="102" t="str">
        <f t="shared" si="2"/>
        <v/>
      </c>
    </row>
    <row r="29" spans="1:16" x14ac:dyDescent="0.3">
      <c r="F29" s="100" t="str">
        <f t="shared" si="0"/>
        <v/>
      </c>
      <c r="K29" s="102" t="str">
        <f t="shared" si="2"/>
        <v/>
      </c>
    </row>
    <row r="30" spans="1:16" x14ac:dyDescent="0.3">
      <c r="F30" s="100" t="str">
        <f t="shared" si="0"/>
        <v/>
      </c>
      <c r="K30" s="102" t="str">
        <f t="shared" si="2"/>
        <v/>
      </c>
    </row>
    <row r="31" spans="1:16" x14ac:dyDescent="0.3">
      <c r="F31" s="100" t="str">
        <f t="shared" si="0"/>
        <v/>
      </c>
      <c r="K31" s="102" t="str">
        <f t="shared" si="2"/>
        <v/>
      </c>
    </row>
    <row r="32" spans="1:16" x14ac:dyDescent="0.3">
      <c r="F32" s="100" t="str">
        <f t="shared" si="0"/>
        <v/>
      </c>
      <c r="K32" s="102" t="str">
        <f t="shared" si="2"/>
        <v/>
      </c>
    </row>
    <row r="33" spans="6:11" x14ac:dyDescent="0.3">
      <c r="F33" s="100" t="str">
        <f t="shared" si="0"/>
        <v/>
      </c>
      <c r="K33" s="102" t="str">
        <f t="shared" si="2"/>
        <v/>
      </c>
    </row>
    <row r="34" spans="6:11" x14ac:dyDescent="0.3">
      <c r="F34" s="100" t="str">
        <f t="shared" si="0"/>
        <v/>
      </c>
      <c r="K34" s="102" t="str">
        <f t="shared" si="2"/>
        <v/>
      </c>
    </row>
    <row r="35" spans="6:11" x14ac:dyDescent="0.3">
      <c r="F35" s="100" t="str">
        <f t="shared" ref="F35:F66" si="5">IF(ISNUMBER(A35),A35,"")</f>
        <v/>
      </c>
      <c r="K35" s="102" t="str">
        <f t="shared" si="2"/>
        <v/>
      </c>
    </row>
    <row r="36" spans="6:11" x14ac:dyDescent="0.3">
      <c r="F36" s="100" t="str">
        <f t="shared" si="5"/>
        <v/>
      </c>
      <c r="K36" s="102" t="str">
        <f t="shared" si="2"/>
        <v/>
      </c>
    </row>
    <row r="37" spans="6:11" x14ac:dyDescent="0.3">
      <c r="F37" s="100" t="str">
        <f t="shared" si="5"/>
        <v/>
      </c>
      <c r="K37" s="102" t="str">
        <f t="shared" si="2"/>
        <v/>
      </c>
    </row>
    <row r="38" spans="6:11" x14ac:dyDescent="0.3">
      <c r="F38" s="100" t="str">
        <f t="shared" si="5"/>
        <v/>
      </c>
      <c r="K38" s="102" t="str">
        <f t="shared" si="2"/>
        <v/>
      </c>
    </row>
    <row r="39" spans="6:11" x14ac:dyDescent="0.3">
      <c r="F39" s="100" t="str">
        <f t="shared" si="5"/>
        <v/>
      </c>
      <c r="K39" s="102" t="str">
        <f t="shared" ref="K39:K71" si="6">IF(ISNUMBER(F39),F39,"")</f>
        <v/>
      </c>
    </row>
    <row r="40" spans="6:11" x14ac:dyDescent="0.3">
      <c r="F40" s="100" t="str">
        <f t="shared" si="5"/>
        <v/>
      </c>
      <c r="K40" s="102" t="str">
        <f t="shared" si="6"/>
        <v/>
      </c>
    </row>
    <row r="41" spans="6:11" x14ac:dyDescent="0.3">
      <c r="F41" s="100" t="str">
        <f t="shared" si="5"/>
        <v/>
      </c>
      <c r="K41" s="102" t="str">
        <f t="shared" si="6"/>
        <v/>
      </c>
    </row>
    <row r="42" spans="6:11" x14ac:dyDescent="0.3">
      <c r="F42" s="100" t="str">
        <f t="shared" si="5"/>
        <v/>
      </c>
      <c r="K42" s="102" t="str">
        <f t="shared" si="6"/>
        <v/>
      </c>
    </row>
    <row r="43" spans="6:11" x14ac:dyDescent="0.3">
      <c r="F43" s="100" t="str">
        <f t="shared" si="5"/>
        <v/>
      </c>
      <c r="K43" s="102" t="str">
        <f t="shared" si="6"/>
        <v/>
      </c>
    </row>
    <row r="44" spans="6:11" x14ac:dyDescent="0.3">
      <c r="F44" s="100" t="str">
        <f t="shared" si="5"/>
        <v/>
      </c>
      <c r="K44" s="102" t="str">
        <f t="shared" si="6"/>
        <v/>
      </c>
    </row>
    <row r="45" spans="6:11" x14ac:dyDescent="0.3">
      <c r="F45" s="100" t="str">
        <f t="shared" si="5"/>
        <v/>
      </c>
      <c r="K45" s="102" t="str">
        <f t="shared" si="6"/>
        <v/>
      </c>
    </row>
    <row r="46" spans="6:11" x14ac:dyDescent="0.3">
      <c r="F46" s="100" t="str">
        <f t="shared" si="5"/>
        <v/>
      </c>
      <c r="K46" s="102" t="str">
        <f t="shared" si="6"/>
        <v/>
      </c>
    </row>
    <row r="47" spans="6:11" x14ac:dyDescent="0.3">
      <c r="F47" s="100" t="str">
        <f t="shared" si="5"/>
        <v/>
      </c>
      <c r="K47" s="102" t="str">
        <f t="shared" si="6"/>
        <v/>
      </c>
    </row>
    <row r="48" spans="6:11" x14ac:dyDescent="0.3">
      <c r="F48" s="100" t="str">
        <f t="shared" si="5"/>
        <v/>
      </c>
      <c r="K48" s="102" t="str">
        <f t="shared" si="6"/>
        <v/>
      </c>
    </row>
    <row r="49" spans="6:11" x14ac:dyDescent="0.3">
      <c r="F49" s="100" t="str">
        <f t="shared" si="5"/>
        <v/>
      </c>
      <c r="K49" s="102" t="str">
        <f t="shared" si="6"/>
        <v/>
      </c>
    </row>
    <row r="50" spans="6:11" x14ac:dyDescent="0.3">
      <c r="F50" s="100" t="str">
        <f t="shared" si="5"/>
        <v/>
      </c>
      <c r="K50" s="102" t="str">
        <f t="shared" si="6"/>
        <v/>
      </c>
    </row>
    <row r="51" spans="6:11" x14ac:dyDescent="0.3">
      <c r="F51" s="100" t="str">
        <f t="shared" si="5"/>
        <v/>
      </c>
      <c r="K51" s="102" t="str">
        <f t="shared" si="6"/>
        <v/>
      </c>
    </row>
    <row r="52" spans="6:11" x14ac:dyDescent="0.3">
      <c r="F52" s="100" t="str">
        <f t="shared" si="5"/>
        <v/>
      </c>
      <c r="K52" s="102" t="str">
        <f t="shared" si="6"/>
        <v/>
      </c>
    </row>
    <row r="53" spans="6:11" x14ac:dyDescent="0.3">
      <c r="F53" s="100" t="str">
        <f t="shared" si="5"/>
        <v/>
      </c>
      <c r="K53" s="102" t="str">
        <f t="shared" si="6"/>
        <v/>
      </c>
    </row>
    <row r="54" spans="6:11" x14ac:dyDescent="0.3">
      <c r="F54" s="100" t="str">
        <f t="shared" si="5"/>
        <v/>
      </c>
      <c r="K54" s="102" t="str">
        <f t="shared" si="6"/>
        <v/>
      </c>
    </row>
    <row r="55" spans="6:11" x14ac:dyDescent="0.3">
      <c r="F55" s="100" t="str">
        <f t="shared" si="5"/>
        <v/>
      </c>
      <c r="K55" s="102" t="str">
        <f t="shared" si="6"/>
        <v/>
      </c>
    </row>
    <row r="56" spans="6:11" x14ac:dyDescent="0.3">
      <c r="F56" s="100" t="str">
        <f t="shared" si="5"/>
        <v/>
      </c>
      <c r="K56" s="102" t="str">
        <f t="shared" si="6"/>
        <v/>
      </c>
    </row>
    <row r="57" spans="6:11" x14ac:dyDescent="0.3">
      <c r="F57" s="100" t="str">
        <f t="shared" si="5"/>
        <v/>
      </c>
      <c r="K57" s="102" t="str">
        <f t="shared" si="6"/>
        <v/>
      </c>
    </row>
    <row r="58" spans="6:11" x14ac:dyDescent="0.3">
      <c r="F58" s="100" t="str">
        <f t="shared" si="5"/>
        <v/>
      </c>
      <c r="K58" s="102" t="str">
        <f t="shared" si="6"/>
        <v/>
      </c>
    </row>
    <row r="59" spans="6:11" x14ac:dyDescent="0.3">
      <c r="F59" s="100" t="str">
        <f t="shared" si="5"/>
        <v/>
      </c>
      <c r="K59" s="102" t="str">
        <f t="shared" si="6"/>
        <v/>
      </c>
    </row>
    <row r="60" spans="6:11" x14ac:dyDescent="0.3">
      <c r="F60" s="100" t="str">
        <f t="shared" si="5"/>
        <v/>
      </c>
      <c r="K60" s="102" t="str">
        <f t="shared" si="6"/>
        <v/>
      </c>
    </row>
    <row r="61" spans="6:11" x14ac:dyDescent="0.3">
      <c r="F61" s="100" t="str">
        <f t="shared" si="5"/>
        <v/>
      </c>
      <c r="K61" s="102" t="str">
        <f t="shared" si="6"/>
        <v/>
      </c>
    </row>
    <row r="62" spans="6:11" x14ac:dyDescent="0.3">
      <c r="F62" s="100" t="str">
        <f t="shared" si="5"/>
        <v/>
      </c>
      <c r="K62" s="102" t="str">
        <f t="shared" si="6"/>
        <v/>
      </c>
    </row>
    <row r="63" spans="6:11" x14ac:dyDescent="0.3">
      <c r="F63" s="100" t="str">
        <f t="shared" si="5"/>
        <v/>
      </c>
      <c r="K63" s="102" t="str">
        <f t="shared" si="6"/>
        <v/>
      </c>
    </row>
    <row r="64" spans="6:11" x14ac:dyDescent="0.3">
      <c r="F64" s="100" t="str">
        <f t="shared" si="5"/>
        <v/>
      </c>
      <c r="K64" s="102" t="str">
        <f t="shared" si="6"/>
        <v/>
      </c>
    </row>
    <row r="65" spans="6:11" x14ac:dyDescent="0.3">
      <c r="F65" s="100" t="str">
        <f t="shared" si="5"/>
        <v/>
      </c>
      <c r="K65" s="102" t="str">
        <f t="shared" si="6"/>
        <v/>
      </c>
    </row>
    <row r="66" spans="6:11" x14ac:dyDescent="0.3">
      <c r="F66" s="100" t="str">
        <f t="shared" si="5"/>
        <v/>
      </c>
      <c r="K66" s="102" t="str">
        <f t="shared" si="6"/>
        <v/>
      </c>
    </row>
    <row r="67" spans="6:11" x14ac:dyDescent="0.3">
      <c r="F67" s="100" t="str">
        <f t="shared" ref="F67:F80" si="7">IF(ISNUMBER(A67),A67,"")</f>
        <v/>
      </c>
      <c r="K67" s="102" t="str">
        <f t="shared" si="6"/>
        <v/>
      </c>
    </row>
    <row r="68" spans="6:11" x14ac:dyDescent="0.3">
      <c r="F68" s="100" t="str">
        <f t="shared" si="7"/>
        <v/>
      </c>
      <c r="K68" s="102" t="str">
        <f t="shared" si="6"/>
        <v/>
      </c>
    </row>
    <row r="69" spans="6:11" x14ac:dyDescent="0.3">
      <c r="F69" s="100" t="str">
        <f t="shared" si="7"/>
        <v/>
      </c>
      <c r="K69" s="102" t="str">
        <f t="shared" si="6"/>
        <v/>
      </c>
    </row>
    <row r="70" spans="6:11" x14ac:dyDescent="0.3">
      <c r="F70" s="100" t="str">
        <f t="shared" si="7"/>
        <v/>
      </c>
      <c r="K70" s="102" t="str">
        <f t="shared" si="6"/>
        <v/>
      </c>
    </row>
    <row r="71" spans="6:11" x14ac:dyDescent="0.3">
      <c r="F71" s="100" t="str">
        <f t="shared" si="7"/>
        <v/>
      </c>
      <c r="K71" s="102" t="str">
        <f t="shared" si="6"/>
        <v/>
      </c>
    </row>
    <row r="72" spans="6:11" x14ac:dyDescent="0.3">
      <c r="F72" s="100" t="str">
        <f t="shared" si="7"/>
        <v/>
      </c>
      <c r="K72" s="102" t="str">
        <f t="shared" ref="K72:K80" si="8">IF(ISNUMBER(F72),F72,"")</f>
        <v/>
      </c>
    </row>
    <row r="73" spans="6:11" x14ac:dyDescent="0.3">
      <c r="F73" s="100" t="str">
        <f t="shared" si="7"/>
        <v/>
      </c>
      <c r="K73" s="102" t="str">
        <f t="shared" si="8"/>
        <v/>
      </c>
    </row>
    <row r="74" spans="6:11" x14ac:dyDescent="0.3">
      <c r="F74" s="100" t="str">
        <f t="shared" si="7"/>
        <v/>
      </c>
      <c r="K74" s="102" t="str">
        <f t="shared" si="8"/>
        <v/>
      </c>
    </row>
    <row r="75" spans="6:11" x14ac:dyDescent="0.3">
      <c r="F75" s="100" t="str">
        <f t="shared" si="7"/>
        <v/>
      </c>
      <c r="K75" s="102" t="str">
        <f t="shared" si="8"/>
        <v/>
      </c>
    </row>
    <row r="76" spans="6:11" x14ac:dyDescent="0.3">
      <c r="F76" s="100" t="str">
        <f t="shared" si="7"/>
        <v/>
      </c>
      <c r="K76" s="102" t="str">
        <f t="shared" si="8"/>
        <v/>
      </c>
    </row>
    <row r="77" spans="6:11" x14ac:dyDescent="0.3">
      <c r="F77" s="100" t="str">
        <f t="shared" si="7"/>
        <v/>
      </c>
      <c r="K77" s="102" t="str">
        <f t="shared" si="8"/>
        <v/>
      </c>
    </row>
    <row r="78" spans="6:11" x14ac:dyDescent="0.3">
      <c r="F78" s="100" t="str">
        <f t="shared" si="7"/>
        <v/>
      </c>
      <c r="K78" s="102" t="str">
        <f t="shared" si="8"/>
        <v/>
      </c>
    </row>
    <row r="79" spans="6:11" x14ac:dyDescent="0.3">
      <c r="F79" s="100" t="str">
        <f t="shared" si="7"/>
        <v/>
      </c>
      <c r="K79" s="102" t="str">
        <f t="shared" si="8"/>
        <v/>
      </c>
    </row>
    <row r="80" spans="6:11" x14ac:dyDescent="0.3">
      <c r="F80" s="100" t="str">
        <f t="shared" si="7"/>
        <v/>
      </c>
      <c r="K80" s="102" t="str">
        <f t="shared" si="8"/>
        <v/>
      </c>
    </row>
  </sheetData>
  <phoneticPr fontId="1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Бережновка</vt:lpstr>
      <vt:lpstr>Бурты</vt:lpstr>
      <vt:lpstr>Молчановка</vt:lpstr>
      <vt:lpstr>Нижний Балыклей</vt:lpstr>
      <vt:lpstr>Нижний Ураков</vt:lpstr>
      <vt:lpstr>Новоникольское</vt:lpstr>
      <vt:lpstr>Пичуга-Южный</vt:lpstr>
      <vt:lpstr>Пролейский</vt:lpstr>
      <vt:lpstr>Суводская</vt:lpstr>
      <vt:lpstr>Ураков Бугор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*</cp:lastModifiedBy>
  <dcterms:created xsi:type="dcterms:W3CDTF">1996-10-08T23:32:33Z</dcterms:created>
  <dcterms:modified xsi:type="dcterms:W3CDTF">2026-02-18T13:16:41Z</dcterms:modified>
</cp:coreProperties>
</file>